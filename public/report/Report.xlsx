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Test\19-5Restful+API\RestfulAPI\"/>
    </mc:Choice>
  </mc:AlternateContent>
  <xr:revisionPtr revIDLastSave="0" documentId="13_ncr:1_{1754F4D7-7657-48BD-A95E-6089E2E21E60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年報" sheetId="3" r:id="rId1"/>
    <sheet name="月報" sheetId="1" r:id="rId2"/>
    <sheet name="日報" sheetId="2" r:id="rId3"/>
  </sheets>
  <definedNames>
    <definedName name="_xlnm.Print_Area" localSheetId="2">日報!$C$3:$T$35</definedName>
    <definedName name="_xlnm.Print_Area" localSheetId="1">月報!$C$3:$AC$39</definedName>
    <definedName name="_xlnm.Print_Area" localSheetId="0">年報!$C$3:$P$36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2" l="1"/>
  <c r="N7" i="3"/>
  <c r="N8" i="3"/>
  <c r="N9" i="3"/>
  <c r="N10" i="3"/>
  <c r="N11" i="3"/>
  <c r="N12" i="3"/>
  <c r="N13" i="3"/>
  <c r="N14" i="3"/>
  <c r="N15" i="3"/>
  <c r="N16" i="3"/>
  <c r="N17" i="3"/>
  <c r="N6" i="3"/>
  <c r="O7" i="3"/>
  <c r="P18" i="3"/>
  <c r="M18" i="3" l="1"/>
  <c r="L18" i="3"/>
  <c r="K18" i="3"/>
  <c r="J18" i="3"/>
  <c r="I18" i="3"/>
  <c r="H18" i="3"/>
  <c r="G18" i="3"/>
  <c r="F18" i="3"/>
  <c r="E18" i="3"/>
  <c r="D18" i="3"/>
  <c r="O17" i="3"/>
  <c r="O16" i="3"/>
  <c r="O15" i="3"/>
  <c r="O14" i="3"/>
  <c r="O13" i="3"/>
  <c r="O12" i="3"/>
  <c r="O11" i="3"/>
  <c r="O10" i="3"/>
  <c r="O9" i="3"/>
  <c r="O8" i="3"/>
  <c r="O6" i="3"/>
  <c r="M30" i="2"/>
  <c r="L30" i="2"/>
  <c r="K30" i="2"/>
  <c r="J30" i="2"/>
  <c r="I30" i="2"/>
  <c r="H30" i="2"/>
  <c r="G30" i="2"/>
  <c r="F30" i="2"/>
  <c r="E30" i="2"/>
  <c r="D30" i="2"/>
  <c r="L37" i="1"/>
  <c r="K37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6" i="1"/>
  <c r="O37" i="1"/>
  <c r="N37" i="1"/>
  <c r="M37" i="1"/>
  <c r="P37" i="1"/>
  <c r="Q37" i="1"/>
  <c r="E37" i="1"/>
  <c r="F37" i="1"/>
  <c r="G37" i="1"/>
  <c r="H37" i="1"/>
  <c r="I37" i="1"/>
  <c r="J37" i="1"/>
  <c r="D37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6" i="1"/>
  <c r="S37" i="1" l="1"/>
  <c r="N18" i="3"/>
  <c r="O18" i="3"/>
  <c r="R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tc={F6C53C23-FFA1-4362-A18B-75EA2901F729}</author>
  </authors>
  <commentList>
    <comment ref="C3" authorId="0" shapeId="0" xr:uid="{F6C53C23-FFA1-4362-A18B-75EA2901F729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tc={81E50B7B-3969-4832-B952-3EF905E0C831}</author>
    <author>tc={FCB8E4AE-9350-453E-807E-C9E28EA2FE77}</author>
  </authors>
  <commentList>
    <comment ref="C3" authorId="0" shapeId="0" xr:uid="{81E50B7B-3969-4832-B952-3EF905E0C831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  <comment ref="T3" authorId="1" shapeId="0" xr:uid="{FCB8E4AE-9350-453E-807E-C9E28EA2FE7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<sst xmlns="http://schemas.openxmlformats.org/spreadsheetml/2006/main" count="128" uniqueCount="44">
  <si>
    <t>日
(Day)</t>
    <phoneticPr fontId="1" type="noConversion"/>
  </si>
  <si>
    <t>充放電效率
(%)</t>
    <phoneticPr fontId="1" type="noConversion"/>
  </si>
  <si>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</si>
  <si>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</si>
  <si>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</si>
  <si>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</si>
  <si>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</si>
  <si>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</si>
  <si>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</si>
  <si>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</si>
  <si>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總用電量 (MWh)</t>
    <phoneticPr fontId="1" type="noConversion"/>
  </si>
  <si>
    <t>Total</t>
    <phoneticPr fontId="1" type="noConversion"/>
  </si>
  <si>
    <t>SPM (%)</t>
    <phoneticPr fontId="1" type="noConversion"/>
  </si>
  <si>
    <t>中止服務</t>
    <phoneticPr fontId="1" type="noConversion"/>
  </si>
  <si>
    <t>MW</t>
    <phoneticPr fontId="1" type="noConversion"/>
  </si>
  <si>
    <t>Minute</t>
    <phoneticPr fontId="1" type="noConversion"/>
  </si>
  <si>
    <t>###</t>
  </si>
  <si>
    <t>###</t>
    <phoneticPr fontId="1" type="noConversion"/>
  </si>
  <si>
    <t>同期</t>
    <phoneticPr fontId="1" type="noConversion"/>
  </si>
  <si>
    <t>小時
(Hour)</t>
    <phoneticPr fontId="1" type="noConversion"/>
  </si>
  <si>
    <r>
      <rPr>
        <sz val="11"/>
        <color rgb="FFFF0000"/>
        <rFont val="微軟正黑體"/>
        <family val="2"/>
        <charset val="136"/>
      </rPr>
      <t>XXYYZZ</t>
    </r>
    <r>
      <rPr>
        <sz val="11"/>
        <color theme="1"/>
        <rFont val="微軟正黑體"/>
        <family val="2"/>
        <charset val="136"/>
      </rPr>
      <t xml:space="preserve">MW </t>
    </r>
    <r>
      <rPr>
        <sz val="11"/>
        <color rgb="FFFF0000"/>
        <rFont val="微軟正黑體"/>
        <family val="2"/>
        <charset val="136"/>
      </rPr>
      <t>E-dReg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rgb="FFFF0000"/>
        <rFont val="微軟正黑體"/>
        <family val="2"/>
        <charset val="136"/>
      </rPr>
      <t>AA</t>
    </r>
    <r>
      <rPr>
        <sz val="11"/>
        <rFont val="微軟正黑體"/>
        <family val="2"/>
        <charset val="136"/>
      </rPr>
      <t>年</t>
    </r>
    <r>
      <rPr>
        <sz val="11"/>
        <color rgb="FFFF0000"/>
        <rFont val="微軟正黑體"/>
        <family val="2"/>
        <charset val="136"/>
      </rPr>
      <t>BB</t>
    </r>
    <r>
      <rPr>
        <sz val="11"/>
        <color theme="1"/>
        <rFont val="微軟正黑體"/>
        <family val="2"/>
        <charset val="136"/>
      </rPr>
      <t>月 月報</t>
    </r>
    <phoneticPr fontId="1" type="noConversion"/>
  </si>
  <si>
    <r>
      <rPr>
        <sz val="11"/>
        <color rgb="FFFF0000"/>
        <rFont val="微軟正黑體"/>
        <family val="2"/>
        <charset val="136"/>
      </rPr>
      <t>XXYYZZ</t>
    </r>
    <r>
      <rPr>
        <sz val="11"/>
        <color theme="1"/>
        <rFont val="微軟正黑體"/>
        <family val="2"/>
        <charset val="136"/>
      </rPr>
      <t xml:space="preserve">MW </t>
    </r>
    <r>
      <rPr>
        <sz val="11"/>
        <color rgb="FFFF0000"/>
        <rFont val="微軟正黑體"/>
        <family val="2"/>
        <charset val="136"/>
      </rPr>
      <t>E-dReg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rgb="FFFF0000"/>
        <rFont val="微軟正黑體"/>
        <family val="2"/>
        <charset val="136"/>
      </rPr>
      <t>AA</t>
    </r>
    <r>
      <rPr>
        <sz val="11"/>
        <rFont val="微軟正黑體"/>
        <family val="2"/>
        <charset val="136"/>
      </rPr>
      <t>年</t>
    </r>
    <r>
      <rPr>
        <sz val="11"/>
        <color rgb="FFFF0000"/>
        <rFont val="微軟正黑體"/>
        <family val="2"/>
        <charset val="136"/>
      </rPr>
      <t>BB</t>
    </r>
    <r>
      <rPr>
        <sz val="11"/>
        <color theme="1"/>
        <rFont val="微軟正黑體"/>
        <family val="2"/>
        <charset val="136"/>
      </rPr>
      <t>月</t>
    </r>
    <r>
      <rPr>
        <sz val="11"/>
        <color rgb="FFFF0000"/>
        <rFont val="微軟正黑體"/>
        <family val="2"/>
        <charset val="136"/>
      </rPr>
      <t>CC</t>
    </r>
    <r>
      <rPr>
        <sz val="11"/>
        <color theme="1"/>
        <rFont val="微軟正黑體"/>
        <family val="2"/>
        <charset val="136"/>
      </rPr>
      <t>日 日報</t>
    </r>
    <phoneticPr fontId="1" type="noConversion"/>
  </si>
  <si>
    <r>
      <rPr>
        <sz val="11"/>
        <color rgb="FFFF0000"/>
        <rFont val="微軟正黑體"/>
        <family val="2"/>
        <charset val="136"/>
      </rPr>
      <t>XXYYZZ</t>
    </r>
    <r>
      <rPr>
        <sz val="11"/>
        <color theme="1"/>
        <rFont val="微軟正黑體"/>
        <family val="2"/>
        <charset val="136"/>
      </rPr>
      <t xml:space="preserve">MW </t>
    </r>
    <r>
      <rPr>
        <sz val="11"/>
        <color rgb="FFFF0000"/>
        <rFont val="微軟正黑體"/>
        <family val="2"/>
        <charset val="136"/>
      </rPr>
      <t>E-dReg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rgb="FFFF0000"/>
        <rFont val="微軟正黑體"/>
        <family val="2"/>
        <charset val="136"/>
      </rPr>
      <t>AA</t>
    </r>
    <r>
      <rPr>
        <sz val="11"/>
        <rFont val="微軟正黑體"/>
        <family val="2"/>
        <charset val="136"/>
      </rPr>
      <t>年</t>
    </r>
    <r>
      <rPr>
        <sz val="11"/>
        <color theme="1"/>
        <rFont val="微軟正黑體"/>
        <family val="2"/>
        <charset val="136"/>
      </rPr>
      <t xml:space="preserve"> 年報</t>
    </r>
    <phoneticPr fontId="1" type="noConversion"/>
  </si>
  <si>
    <t>月
(Day)</t>
    <phoneticPr fontId="1" type="noConversion"/>
  </si>
  <si>
    <t>本期</t>
    <phoneticPr fontId="1" type="noConversion"/>
  </si>
  <si>
    <t>上期</t>
    <phoneticPr fontId="1" type="noConversion"/>
  </si>
  <si>
    <t>總輔助用電
(AUX-AC)</t>
    <phoneticPr fontId="1" type="noConversion"/>
  </si>
  <si>
    <t>控制室
(AUX-EMS)</t>
    <phoneticPr fontId="1" type="noConversion"/>
  </si>
  <si>
    <t>ESS1-1</t>
    <phoneticPr fontId="1" type="noConversion"/>
  </si>
  <si>
    <t>ESS1-2</t>
  </si>
  <si>
    <t>ESS2-1</t>
    <phoneticPr fontId="1" type="noConversion"/>
  </si>
  <si>
    <t>ESS2-2</t>
    <phoneticPr fontId="1" type="noConversion"/>
  </si>
  <si>
    <t>ESS3-1</t>
    <phoneticPr fontId="1" type="noConversion"/>
  </si>
  <si>
    <t>ESS3-2</t>
    <phoneticPr fontId="1" type="noConversion"/>
  </si>
  <si>
    <t>ESS4-1</t>
    <phoneticPr fontId="1" type="noConversion"/>
  </si>
  <si>
    <t>輔助用電分析
(kWh)</t>
    <phoneticPr fontId="1" type="noConversion"/>
  </si>
  <si>
    <t>輔助用電
(MWh)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</si>
  <si>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</si>
  <si>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</si>
  <si>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</si>
  <si>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</si>
  <si>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p</t>
    <phoneticPr fontId="1" type="noConversion"/>
  </si>
  <si>
    <t>Minutes</t>
    <phoneticPr fontId="1" type="noConversion"/>
  </si>
  <si>
    <t>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</si>
</sst>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2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77" fontId="3" fillId="0" borderId="13" xfId="0" applyNumberFormat="1" applyFont="1" applyBorder="1" applyAlignment="1">
      <alignment horizontal="center"/>
    </xf>
    <xf numFmtId="177" fontId="3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177" fontId="3" fillId="0" borderId="10" xfId="0" applyNumberFormat="1" applyFont="1" applyBorder="1" applyAlignment="1">
      <alignment horizontal="center"/>
    </xf>
    <xf numFmtId="177" fontId="3" fillId="0" borderId="11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77" fontId="3" fillId="0" borderId="16" xfId="0" applyNumberFormat="1" applyFont="1" applyBorder="1" applyAlignment="1">
      <alignment horizontal="center"/>
    </xf>
    <xf numFmtId="177" fontId="3" fillId="0" borderId="17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/>
    </xf>
    <xf numFmtId="176" fontId="3" fillId="0" borderId="33" xfId="0" applyNumberFormat="1" applyFont="1" applyBorder="1" applyAlignment="1">
      <alignment horizontal="center"/>
    </xf>
    <xf numFmtId="176" fontId="3" fillId="0" borderId="35" xfId="0" applyNumberFormat="1" applyFont="1" applyBorder="1" applyAlignment="1">
      <alignment horizontal="center"/>
    </xf>
    <xf numFmtId="177" fontId="3" fillId="0" borderId="36" xfId="1" applyNumberFormat="1" applyFont="1" applyBorder="1" applyAlignment="1">
      <alignment horizontal="center"/>
    </xf>
    <xf numFmtId="177" fontId="3" fillId="0" borderId="37" xfId="1" applyNumberFormat="1" applyFont="1" applyBorder="1" applyAlignment="1">
      <alignment horizontal="center"/>
    </xf>
    <xf numFmtId="177" fontId="3" fillId="0" borderId="39" xfId="1" applyNumberFormat="1" applyFont="1" applyBorder="1" applyAlignment="1">
      <alignment horizontal="center"/>
    </xf>
    <xf numFmtId="177" fontId="3" fillId="0" borderId="28" xfId="1" applyNumberFormat="1" applyFont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1" fontId="3" fillId="0" borderId="41" xfId="0" applyNumberFormat="1" applyFont="1" applyBorder="1" applyAlignment="1">
      <alignment horizontal="center"/>
    </xf>
    <xf numFmtId="177" fontId="3" fillId="0" borderId="42" xfId="0" applyNumberFormat="1" applyFont="1" applyBorder="1" applyAlignment="1">
      <alignment horizontal="center"/>
    </xf>
    <xf numFmtId="177" fontId="3" fillId="0" borderId="41" xfId="0" applyNumberFormat="1" applyFont="1" applyBorder="1" applyAlignment="1">
      <alignment horizontal="center"/>
    </xf>
    <xf numFmtId="177" fontId="3" fillId="0" borderId="45" xfId="1" applyNumberFormat="1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1" fontId="3" fillId="0" borderId="42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77" fontId="3" fillId="0" borderId="48" xfId="1" applyNumberFormat="1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177" fontId="3" fillId="0" borderId="51" xfId="1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177" fontId="3" fillId="0" borderId="19" xfId="1" applyNumberFormat="1" applyFont="1" applyBorder="1" applyAlignment="1">
      <alignment horizontal="center"/>
    </xf>
    <xf numFmtId="177" fontId="3" fillId="0" borderId="53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/>
    </xf>
    <xf numFmtId="176" fontId="3" fillId="0" borderId="4" xfId="0" applyNumberFormat="1" applyFont="1" applyBorder="1" applyAlignment="1">
      <alignment horizontal="center"/>
    </xf>
    <xf numFmtId="176" fontId="3" fillId="0" borderId="6" xfId="0" applyNumberFormat="1" applyFont="1" applyBorder="1" applyAlignment="1">
      <alignment horizontal="center"/>
    </xf>
    <xf numFmtId="177" fontId="3" fillId="0" borderId="7" xfId="0" applyNumberFormat="1" applyFont="1" applyBorder="1" applyAlignment="1">
      <alignment horizontal="center"/>
    </xf>
    <xf numFmtId="177" fontId="3" fillId="0" borderId="8" xfId="0" applyNumberFormat="1" applyFont="1" applyBorder="1" applyAlignment="1">
      <alignment horizontal="center"/>
    </xf>
    <xf numFmtId="176" fontId="3" fillId="0" borderId="9" xfId="0" applyNumberFormat="1" applyFont="1" applyBorder="1" applyAlignment="1">
      <alignment horizontal="center"/>
    </xf>
    <xf numFmtId="17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65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40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62" xfId="0" applyFont="1" applyBorder="1" applyAlignment="1">
      <alignment horizont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B9-4AC0-8517-5E415ED383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B9-4AC0-8517-5E415ED383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B9-4AC0-8517-5E415ED383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B9-4AC0-8517-5E415ED383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B9-4AC0-8517-5E415ED383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B9-4AC0-8517-5E415ED383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B9-4AC0-8517-5E415ED383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20B-49F7-AC6B-CCB0D6C2A3FE}"/>
              </c:ext>
            </c:extLst>
          </c:dPt>
          <c:cat>
            <c:numRef>
              <c:f>年報!$D$5:$J$5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年報!$D$18:$J$18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5B9-4AC0-8517-5E415ED3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充放電效率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年報!$O$6:$O$17</c:f>
              <c:numCache>
                <c:formatCode>0.0</c:formatCode>
                <c:ptCount val="12"/>
                <c:pt idx="0">
                  <c:v>87.17386338079298</c:v>
                </c:pt>
                <c:pt idx="1">
                  <c:v>92.586446890890713</c:v>
                </c:pt>
                <c:pt idx="2">
                  <c:v>91.746563242772112</c:v>
                </c:pt>
                <c:pt idx="3">
                  <c:v>90.999999999999957</c:v>
                </c:pt>
                <c:pt idx="4">
                  <c:v>89.600193919802322</c:v>
                </c:pt>
                <c:pt idx="5">
                  <c:v>90.999999999999957</c:v>
                </c:pt>
                <c:pt idx="6">
                  <c:v>90.533397973267441</c:v>
                </c:pt>
                <c:pt idx="7">
                  <c:v>90.999999999999957</c:v>
                </c:pt>
                <c:pt idx="8">
                  <c:v>90.833481868311836</c:v>
                </c:pt>
                <c:pt idx="9">
                  <c:v>90.999999999999957</c:v>
                </c:pt>
                <c:pt idx="10">
                  <c:v>88.200387839604616</c:v>
                </c:pt>
                <c:pt idx="11">
                  <c:v>92.866408106930251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0-428A-B17A-36E5F3046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479408"/>
        <c:axId val="1089044047"/>
        <c:axId val="0"/>
      </c:bar3DChart>
      <c:catAx>
        <c:axId val="69747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044047"/>
        <c:crosses val="autoZero"/>
        <c:auto val="1"/>
        <c:lblAlgn val="ctr"/>
        <c:lblOffset val="100"/>
        <c:noMultiLvlLbl val="0"/>
      </c:catAx>
      <c:valAx>
        <c:axId val="10890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747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B1-4AAA-BFBB-F64C9B27CB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B1-4AAA-BFBB-F64C9B27CB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B1-4AAA-BFBB-F64C9B27CB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B1-4AAA-BFBB-F64C9B27CB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B1-4AAA-BFBB-F64C9B27CB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B1-4AAA-BFBB-F64C9B27CB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B1-4AAA-BFBB-F64C9B27CB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53F-4EAD-B8FC-1524B3AA546F}"/>
              </c:ext>
            </c:extLst>
          </c:dPt>
          <c:cat>
            <c:numRef>
              <c:f>月報!$D$5:$J$5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月報!$D$37:$J$37</c:f>
              <c:numCache>
                <c:formatCode>General</c:formatCode>
                <c:ptCount val="7"/>
                <c:pt idx="0">
                  <c:v>744</c:v>
                </c:pt>
                <c:pt idx="1">
                  <c:v>24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B-4D3E-97DA-65707377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充放電效率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54876019382607"/>
          <c:y val="0.1890969412765944"/>
          <c:w val="0.86161569675283034"/>
          <c:h val="0.6960974720154123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月報!$S$6:$S$36</c:f>
              <c:numCache>
                <c:formatCode>0.0</c:formatCode>
                <c:ptCount val="31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91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  <c:pt idx="7">
                  <c:v>91</c:v>
                </c:pt>
                <c:pt idx="8">
                  <c:v>91</c:v>
                </c:pt>
                <c:pt idx="9">
                  <c:v>91</c:v>
                </c:pt>
                <c:pt idx="10">
                  <c:v>91</c:v>
                </c:pt>
                <c:pt idx="11">
                  <c:v>91</c:v>
                </c:pt>
                <c:pt idx="12">
                  <c:v>91</c:v>
                </c:pt>
                <c:pt idx="13">
                  <c:v>91</c:v>
                </c:pt>
                <c:pt idx="14">
                  <c:v>91</c:v>
                </c:pt>
                <c:pt idx="15">
                  <c:v>91</c:v>
                </c:pt>
                <c:pt idx="16">
                  <c:v>91</c:v>
                </c:pt>
                <c:pt idx="17">
                  <c:v>91</c:v>
                </c:pt>
                <c:pt idx="18">
                  <c:v>91</c:v>
                </c:pt>
                <c:pt idx="19">
                  <c:v>91</c:v>
                </c:pt>
                <c:pt idx="20">
                  <c:v>91</c:v>
                </c:pt>
                <c:pt idx="21">
                  <c:v>91</c:v>
                </c:pt>
                <c:pt idx="22">
                  <c:v>91</c:v>
                </c:pt>
                <c:pt idx="23">
                  <c:v>91</c:v>
                </c:pt>
                <c:pt idx="24">
                  <c:v>91</c:v>
                </c:pt>
                <c:pt idx="25">
                  <c:v>91</c:v>
                </c:pt>
                <c:pt idx="26">
                  <c:v>91</c:v>
                </c:pt>
                <c:pt idx="27">
                  <c:v>91</c:v>
                </c:pt>
                <c:pt idx="28">
                  <c:v>91</c:v>
                </c:pt>
                <c:pt idx="29">
                  <c:v>91</c:v>
                </c:pt>
                <c:pt idx="30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5-440E-816A-9A6565216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479408"/>
        <c:axId val="1089044047"/>
        <c:axId val="0"/>
      </c:bar3DChart>
      <c:catAx>
        <c:axId val="69747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044047"/>
        <c:crosses val="autoZero"/>
        <c:auto val="1"/>
        <c:lblAlgn val="ctr"/>
        <c:lblOffset val="100"/>
        <c:noMultiLvlLbl val="0"/>
      </c:catAx>
      <c:valAx>
        <c:axId val="10890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747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301301191580205E-2"/>
          <c:y val="2.8981575271493233E-2"/>
          <c:w val="0.91319856366719931"/>
          <c:h val="0.88734751482820862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月報!$O$4:$O$5</c:f>
              <c:strCache>
                <c:ptCount val="2"/>
                <c:pt idx="0">
                  <c:v>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月報!$O$6:$O$36</c:f>
              <c:numCache>
                <c:formatCode>General</c:formatCode>
                <c:ptCount val="31"/>
                <c:pt idx="0">
                  <c:v>95.5</c:v>
                </c:pt>
                <c:pt idx="1">
                  <c:v>95.5</c:v>
                </c:pt>
                <c:pt idx="2">
                  <c:v>95.5</c:v>
                </c:pt>
                <c:pt idx="3">
                  <c:v>95.5</c:v>
                </c:pt>
                <c:pt idx="4">
                  <c:v>95.5</c:v>
                </c:pt>
                <c:pt idx="5">
                  <c:v>95.5</c:v>
                </c:pt>
                <c:pt idx="6">
                  <c:v>95.5</c:v>
                </c:pt>
                <c:pt idx="7">
                  <c:v>95.5</c:v>
                </c:pt>
                <c:pt idx="8">
                  <c:v>95.5</c:v>
                </c:pt>
                <c:pt idx="9">
                  <c:v>95.5</c:v>
                </c:pt>
                <c:pt idx="10">
                  <c:v>95.5</c:v>
                </c:pt>
                <c:pt idx="11">
                  <c:v>95.5</c:v>
                </c:pt>
                <c:pt idx="12">
                  <c:v>95.5</c:v>
                </c:pt>
                <c:pt idx="13">
                  <c:v>95.5</c:v>
                </c:pt>
                <c:pt idx="14">
                  <c:v>95.5</c:v>
                </c:pt>
                <c:pt idx="15">
                  <c:v>95.5</c:v>
                </c:pt>
                <c:pt idx="16">
                  <c:v>95.5</c:v>
                </c:pt>
                <c:pt idx="17">
                  <c:v>95.5</c:v>
                </c:pt>
                <c:pt idx="18">
                  <c:v>95.5</c:v>
                </c:pt>
                <c:pt idx="19">
                  <c:v>95.5</c:v>
                </c:pt>
                <c:pt idx="20">
                  <c:v>95.5</c:v>
                </c:pt>
                <c:pt idx="21">
                  <c:v>95.5</c:v>
                </c:pt>
                <c:pt idx="22">
                  <c:v>95.5</c:v>
                </c:pt>
                <c:pt idx="23">
                  <c:v>95.5</c:v>
                </c:pt>
                <c:pt idx="24">
                  <c:v>95.5</c:v>
                </c:pt>
                <c:pt idx="25">
                  <c:v>95.5</c:v>
                </c:pt>
                <c:pt idx="26">
                  <c:v>95.5</c:v>
                </c:pt>
                <c:pt idx="27">
                  <c:v>95.5</c:v>
                </c:pt>
                <c:pt idx="28">
                  <c:v>95.5</c:v>
                </c:pt>
                <c:pt idx="29">
                  <c:v>95.5</c:v>
                </c:pt>
                <c:pt idx="30">
                  <c:v>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9-4B47-B3C0-EFD6BCFBAF00}"/>
            </c:ext>
          </c:extLst>
        </c:ser>
        <c:ser>
          <c:idx val="1"/>
          <c:order val="1"/>
          <c:tx>
            <c:strRef>
              <c:f>月報!$N$4:$N$5</c:f>
              <c:strCache>
                <c:ptCount val="2"/>
                <c:pt idx="0">
                  <c:v>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月報!$N$6:$N$36</c:f>
              <c:numCache>
                <c:formatCode>0.0</c:formatCode>
                <c:ptCount val="31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  <c:pt idx="24">
                  <c:v>99</c:v>
                </c:pt>
                <c:pt idx="25">
                  <c:v>99</c:v>
                </c:pt>
                <c:pt idx="26">
                  <c:v>99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9-4B47-B3C0-EFD6BCFBAF00}"/>
            </c:ext>
          </c:extLst>
        </c:ser>
        <c:ser>
          <c:idx val="0"/>
          <c:order val="2"/>
          <c:tx>
            <c:strRef>
              <c:f>月報!$M$4:$M$5</c:f>
              <c:strCache>
                <c:ptCount val="2"/>
                <c:pt idx="0">
                  <c:v>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月報!$M$6:$M$36</c:f>
              <c:numCache>
                <c:formatCode>0.0</c:formatCode>
                <c:ptCount val="3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9-4B47-B3C0-EFD6BCFBA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24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  <c:pt idx="0">
                  <c:v>95.5</c:v>
                </c:pt>
                <c:pt idx="1">
                  <c:v>95.5</c:v>
                </c:pt>
                <c:pt idx="2">
                  <c:v>95.5</c:v>
                </c:pt>
                <c:pt idx="3">
                  <c:v>95.5</c:v>
                </c:pt>
                <c:pt idx="4">
                  <c:v>95.5</c:v>
                </c:pt>
                <c:pt idx="5">
                  <c:v>95.5</c:v>
                </c:pt>
                <c:pt idx="6">
                  <c:v>95.5</c:v>
                </c:pt>
                <c:pt idx="7">
                  <c:v>95.5</c:v>
                </c:pt>
                <c:pt idx="8">
                  <c:v>95.5</c:v>
                </c:pt>
                <c:pt idx="9">
                  <c:v>95.5</c:v>
                </c:pt>
                <c:pt idx="10">
                  <c:v>95.5</c:v>
                </c:pt>
                <c:pt idx="11">
                  <c:v>95.5</c:v>
                </c:pt>
                <c:pt idx="12">
                  <c:v>95.5</c:v>
                </c:pt>
                <c:pt idx="13">
                  <c:v>95.5</c:v>
                </c:pt>
                <c:pt idx="14">
                  <c:v>95.5</c:v>
                </c:pt>
                <c:pt idx="15">
                  <c:v>95.5</c:v>
                </c:pt>
                <c:pt idx="16">
                  <c:v>95.5</c:v>
                </c:pt>
                <c:pt idx="17">
                  <c:v>95.5</c:v>
                </c:pt>
                <c:pt idx="18">
                  <c:v>95.5</c:v>
                </c:pt>
                <c:pt idx="19">
                  <c:v>95.5</c:v>
                </c:pt>
                <c:pt idx="20">
                  <c:v>95.5</c:v>
                </c:pt>
                <c:pt idx="21">
                  <c:v>95.5</c:v>
                </c:pt>
                <c:pt idx="22">
                  <c:v>95.5</c:v>
                </c:pt>
                <c:pt idx="23">
                  <c:v>95.5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99</c:v>
                </c:pt>
                <c:pt idx="11">
                  <c:v>99</c:v>
                </c:pt>
                <c:pt idx="12">
                  <c:v>99</c:v>
                </c:pt>
                <c:pt idx="13">
                  <c:v>99</c:v>
                </c:pt>
                <c:pt idx="14">
                  <c:v>99</c:v>
                </c:pt>
                <c:pt idx="15">
                  <c:v>99</c:v>
                </c:pt>
                <c:pt idx="16">
                  <c:v>99</c:v>
                </c:pt>
                <c:pt idx="17">
                  <c:v>99</c:v>
                </c:pt>
                <c:pt idx="18">
                  <c:v>99</c:v>
                </c:pt>
                <c:pt idx="19">
                  <c:v>99</c:v>
                </c:pt>
                <c:pt idx="20">
                  <c:v>99</c:v>
                </c:pt>
                <c:pt idx="21">
                  <c:v>99</c:v>
                </c:pt>
                <c:pt idx="22">
                  <c:v>99</c:v>
                </c:pt>
                <c:pt idx="2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</xdr:colOff>
      <xdr:row>20</xdr:row>
      <xdr:rowOff>1905</xdr:rowOff>
    </xdr:from>
    <xdr:to>
      <xdr:col>9</xdr:col>
      <xdr:colOff>352425</xdr:colOff>
      <xdr:row>35</xdr:row>
      <xdr:rowOff>100965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7C32B531-45FB-4222-BE3F-F22829F3E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24765</xdr:colOff>
      <xdr:row>20</xdr:row>
      <xdr:rowOff>11429</xdr:rowOff>
    </xdr:from>
    <xdr:to>
      <xdr:col>15</xdr:col>
      <xdr:colOff>750570</xdr:colOff>
      <xdr:row>35</xdr:row>
      <xdr:rowOff>97155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F49BAB7-7434-4591-A26D-9C67D1782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27495</xdr:colOff>
      <xdr:row>8</xdr:row>
      <xdr:rowOff>171191</xdr:rowOff>
    </xdr:from>
    <xdr:to>
      <xdr:col>23</xdr:col>
      <xdr:colOff>745791</xdr:colOff>
      <xdr:row>23</xdr:row>
      <xdr:rowOff>23171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F72ED16-3DF4-8DFE-25D4-155CDDC59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19602</xdr:colOff>
      <xdr:row>8</xdr:row>
      <xdr:rowOff>165783</xdr:rowOff>
    </xdr:from>
    <xdr:to>
      <xdr:col>28</xdr:col>
      <xdr:colOff>817142</xdr:colOff>
      <xdr:row>23</xdr:row>
      <xdr:rowOff>10187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E5E11AC-7173-E330-BE9F-FC23544C3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20995</xdr:colOff>
      <xdr:row>24</xdr:row>
      <xdr:rowOff>15903</xdr:rowOff>
    </xdr:from>
    <xdr:to>
      <xdr:col>23</xdr:col>
      <xdr:colOff>751058</xdr:colOff>
      <xdr:row>38</xdr:row>
      <xdr:rowOff>157370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A2FD57-B091-4BED-754A-FBAE68392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F6C53C23-FFA1-4362-A18B-75EA2901F729}">
    <text>XX=縣市
YY=地區
ZZ=併網容量
e.g. 花蓮和平10MW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81E50B7B-3969-4832-B952-3EF905E0C831}">
    <text>XX=縣市
YY=地區
ZZ=併網容量
e.g. 花蓮和平10MW</text>
  </threadedComment>
  <threadedComment ref="T3" dT="2023-11-27T08:34:48.63" personId="{B8A74333-F443-456F-BDB7-E92946D76E41}" id="{FCB8E4AE-9350-453E-807E-C9E28EA2FE77}">
    <text>XX=縣市
YY=地區
ZZ=併網容量
e.g. 花蓮和平10MW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E726-C907-436C-820E-D25BB221BFD8}">
  <sheetPr>
    <pageSetUpPr fitToPage="1"/>
  </sheetPr>
  <dimension ref="C2:P19"/>
  <sheetViews>
    <sheetView zoomScaleNormal="100" zoomScaleSheetLayoutView="100" workbookViewId="0">
      <selection activeCell="S16" sqref="S16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8.625" style="2" customWidth="1"/>
    <col min="11" max="14" width="10.625" style="1" customWidth="1"/>
    <col min="15" max="15" width="14.25" style="2" bestFit="1" customWidth="1"/>
    <col min="16" max="16" width="12.625" style="2" customWidth="1"/>
    <col min="17" max="16384" width="8.75" style="1"/>
  </cols>
  <sheetData>
    <row r="2" spans="3:16" ht="15" thickBot="1" x14ac:dyDescent="0.35"/>
    <row r="3" spans="3:16" ht="15" thickBot="1" x14ac:dyDescent="0.35">
      <c r="C3" s="88" t="s">
        <v>22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90"/>
      <c r="P3" s="53"/>
    </row>
    <row r="4" spans="3:16" s="2" customFormat="1" ht="14.55" customHeight="1" x14ac:dyDescent="0.3">
      <c r="C4" s="91" t="s">
        <v>23</v>
      </c>
      <c r="D4" s="93" t="s">
        <v>3</v>
      </c>
      <c r="E4" s="94"/>
      <c r="F4" s="94"/>
      <c r="G4" s="94"/>
      <c r="H4" s="94"/>
      <c r="I4" s="94"/>
      <c r="J4" s="95"/>
      <c r="K4" s="30" t="s">
        <v>13</v>
      </c>
      <c r="L4" s="91" t="s">
        <v>10</v>
      </c>
      <c r="M4" s="96"/>
      <c r="N4" s="96"/>
      <c r="O4" s="97" t="s">
        <v>1</v>
      </c>
      <c r="P4" s="86" t="s">
        <v>36</v>
      </c>
    </row>
    <row r="5" spans="3:16" ht="15" thickBot="1" x14ac:dyDescent="0.35">
      <c r="C5" s="92"/>
      <c r="D5" s="7">
        <v>1</v>
      </c>
      <c r="E5" s="8">
        <v>0.8</v>
      </c>
      <c r="F5" s="8">
        <v>0.6</v>
      </c>
      <c r="G5" s="8">
        <v>0.4</v>
      </c>
      <c r="H5" s="8">
        <v>0.2</v>
      </c>
      <c r="I5" s="8">
        <v>0</v>
      </c>
      <c r="J5" s="9">
        <v>-1</v>
      </c>
      <c r="K5" s="22" t="s">
        <v>15</v>
      </c>
      <c r="L5" s="73" t="s">
        <v>7</v>
      </c>
      <c r="M5" s="74" t="s">
        <v>8</v>
      </c>
      <c r="N5" s="75" t="s">
        <v>9</v>
      </c>
      <c r="O5" s="98"/>
      <c r="P5" s="87"/>
    </row>
    <row r="6" spans="3:16" x14ac:dyDescent="0.3">
      <c r="C6" s="17">
        <v>1</v>
      </c>
      <c r="D6" s="18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3">
        <v>0</v>
      </c>
      <c r="K6" s="69">
        <v>0</v>
      </c>
      <c r="L6" s="25">
        <v>1071.577</v>
      </c>
      <c r="M6" s="26">
        <v>934.13507000000004</v>
      </c>
      <c r="N6" s="77">
        <f>L6-M6</f>
        <v>137.44192999999996</v>
      </c>
      <c r="O6" s="71">
        <f>M6/L6*100</f>
        <v>87.17386338079298</v>
      </c>
      <c r="P6" s="48">
        <v>3.6</v>
      </c>
    </row>
    <row r="7" spans="3:16" x14ac:dyDescent="0.3">
      <c r="C7" s="16">
        <v>2</v>
      </c>
      <c r="D7" s="18">
        <v>0</v>
      </c>
      <c r="E7" s="3">
        <v>0</v>
      </c>
      <c r="F7" s="19">
        <v>0</v>
      </c>
      <c r="G7" s="19">
        <v>0</v>
      </c>
      <c r="H7" s="19">
        <v>0</v>
      </c>
      <c r="I7" s="19">
        <v>0</v>
      </c>
      <c r="J7" s="5">
        <v>0</v>
      </c>
      <c r="K7" s="70">
        <v>0</v>
      </c>
      <c r="L7" s="15">
        <v>1071.577</v>
      </c>
      <c r="M7" s="4">
        <v>992.13507000000004</v>
      </c>
      <c r="N7" s="78">
        <f t="shared" ref="N7:N17" si="0">L7-M7</f>
        <v>79.441929999999957</v>
      </c>
      <c r="O7" s="72">
        <f>M7/L7*100</f>
        <v>92.586446890890713</v>
      </c>
      <c r="P7" s="49">
        <v>3.6</v>
      </c>
    </row>
    <row r="8" spans="3:16" x14ac:dyDescent="0.3">
      <c r="C8" s="16">
        <v>3</v>
      </c>
      <c r="D8" s="18">
        <v>0</v>
      </c>
      <c r="E8" s="3">
        <v>0</v>
      </c>
      <c r="F8" s="19">
        <v>0</v>
      </c>
      <c r="G8" s="19">
        <v>0</v>
      </c>
      <c r="H8" s="19">
        <v>0</v>
      </c>
      <c r="I8" s="19">
        <v>0</v>
      </c>
      <c r="J8" s="5">
        <v>0</v>
      </c>
      <c r="K8" s="70">
        <v>0</v>
      </c>
      <c r="L8" s="15">
        <v>1071.577</v>
      </c>
      <c r="M8" s="4">
        <v>983.13507000000004</v>
      </c>
      <c r="N8" s="78">
        <f t="shared" si="0"/>
        <v>88.441929999999957</v>
      </c>
      <c r="O8" s="72">
        <f t="shared" ref="O8:O18" si="1">M8/L8*100</f>
        <v>91.746563242772112</v>
      </c>
      <c r="P8" s="49">
        <v>3.6</v>
      </c>
    </row>
    <row r="9" spans="3:16" x14ac:dyDescent="0.3">
      <c r="C9" s="16">
        <v>4</v>
      </c>
      <c r="D9" s="18">
        <v>0</v>
      </c>
      <c r="E9" s="3">
        <v>0</v>
      </c>
      <c r="F9" s="19">
        <v>0</v>
      </c>
      <c r="G9" s="19">
        <v>0</v>
      </c>
      <c r="H9" s="19">
        <v>0</v>
      </c>
      <c r="I9" s="19">
        <v>0</v>
      </c>
      <c r="J9" s="5">
        <v>0</v>
      </c>
      <c r="K9" s="70">
        <v>0</v>
      </c>
      <c r="L9" s="15">
        <v>1071.577</v>
      </c>
      <c r="M9" s="4">
        <v>975.13506999999959</v>
      </c>
      <c r="N9" s="78">
        <f t="shared" si="0"/>
        <v>96.441930000000411</v>
      </c>
      <c r="O9" s="72">
        <f t="shared" si="1"/>
        <v>90.999999999999957</v>
      </c>
      <c r="P9" s="49">
        <v>3.6</v>
      </c>
    </row>
    <row r="10" spans="3:16" x14ac:dyDescent="0.3">
      <c r="C10" s="16">
        <v>5</v>
      </c>
      <c r="D10" s="18">
        <v>0</v>
      </c>
      <c r="E10" s="3">
        <v>0</v>
      </c>
      <c r="F10" s="19">
        <v>0</v>
      </c>
      <c r="G10" s="19">
        <v>0</v>
      </c>
      <c r="H10" s="19">
        <v>0</v>
      </c>
      <c r="I10" s="19">
        <v>0</v>
      </c>
      <c r="J10" s="5">
        <v>0</v>
      </c>
      <c r="K10" s="70">
        <v>0</v>
      </c>
      <c r="L10" s="15">
        <v>1071.577</v>
      </c>
      <c r="M10" s="4">
        <v>960.13507000000004</v>
      </c>
      <c r="N10" s="78">
        <f t="shared" si="0"/>
        <v>111.44192999999996</v>
      </c>
      <c r="O10" s="72">
        <f t="shared" si="1"/>
        <v>89.600193919802322</v>
      </c>
      <c r="P10" s="49">
        <v>3.6</v>
      </c>
    </row>
    <row r="11" spans="3:16" x14ac:dyDescent="0.3">
      <c r="C11" s="16">
        <v>6</v>
      </c>
      <c r="D11" s="18">
        <v>0</v>
      </c>
      <c r="E11" s="3">
        <v>0</v>
      </c>
      <c r="F11" s="19">
        <v>0</v>
      </c>
      <c r="G11" s="19">
        <v>0</v>
      </c>
      <c r="H11" s="19">
        <v>0</v>
      </c>
      <c r="I11" s="19">
        <v>0</v>
      </c>
      <c r="J11" s="5">
        <v>0</v>
      </c>
      <c r="K11" s="70">
        <v>0</v>
      </c>
      <c r="L11" s="15">
        <v>1071.577</v>
      </c>
      <c r="M11" s="4">
        <v>975.13506999999959</v>
      </c>
      <c r="N11" s="78">
        <f t="shared" si="0"/>
        <v>96.441930000000411</v>
      </c>
      <c r="O11" s="72">
        <f t="shared" si="1"/>
        <v>90.999999999999957</v>
      </c>
      <c r="P11" s="66">
        <v>3.6</v>
      </c>
    </row>
    <row r="12" spans="3:16" x14ac:dyDescent="0.3">
      <c r="C12" s="16">
        <v>7</v>
      </c>
      <c r="D12" s="18">
        <v>0</v>
      </c>
      <c r="E12" s="3">
        <v>0</v>
      </c>
      <c r="F12" s="19">
        <v>0</v>
      </c>
      <c r="G12" s="19">
        <v>0</v>
      </c>
      <c r="H12" s="19">
        <v>0</v>
      </c>
      <c r="I12" s="19">
        <v>0</v>
      </c>
      <c r="J12" s="5">
        <v>0</v>
      </c>
      <c r="K12" s="70">
        <v>0</v>
      </c>
      <c r="L12" s="15">
        <v>1071.577</v>
      </c>
      <c r="M12" s="4">
        <v>970.13507000000004</v>
      </c>
      <c r="N12" s="78">
        <f t="shared" si="0"/>
        <v>101.44192999999996</v>
      </c>
      <c r="O12" s="72">
        <f t="shared" si="1"/>
        <v>90.533397973267441</v>
      </c>
      <c r="P12" s="50">
        <v>3.6</v>
      </c>
    </row>
    <row r="13" spans="3:16" x14ac:dyDescent="0.3">
      <c r="C13" s="16">
        <v>8</v>
      </c>
      <c r="D13" s="18">
        <v>0</v>
      </c>
      <c r="E13" s="3">
        <v>0</v>
      </c>
      <c r="F13" s="19">
        <v>0</v>
      </c>
      <c r="G13" s="19">
        <v>0</v>
      </c>
      <c r="H13" s="19">
        <v>0</v>
      </c>
      <c r="I13" s="19">
        <v>0</v>
      </c>
      <c r="J13" s="5">
        <v>0</v>
      </c>
      <c r="K13" s="70">
        <v>0</v>
      </c>
      <c r="L13" s="15">
        <v>1071.577</v>
      </c>
      <c r="M13" s="4">
        <v>975.13506999999959</v>
      </c>
      <c r="N13" s="78">
        <f t="shared" si="0"/>
        <v>96.441930000000411</v>
      </c>
      <c r="O13" s="72">
        <f t="shared" si="1"/>
        <v>90.999999999999957</v>
      </c>
      <c r="P13" s="49">
        <v>3.6</v>
      </c>
    </row>
    <row r="14" spans="3:16" x14ac:dyDescent="0.3">
      <c r="C14" s="16">
        <v>9</v>
      </c>
      <c r="D14" s="18">
        <v>0</v>
      </c>
      <c r="E14" s="3">
        <v>0</v>
      </c>
      <c r="F14" s="19">
        <v>0</v>
      </c>
      <c r="G14" s="19">
        <v>0</v>
      </c>
      <c r="H14" s="19">
        <v>0</v>
      </c>
      <c r="I14" s="19">
        <v>0</v>
      </c>
      <c r="J14" s="5">
        <v>0</v>
      </c>
      <c r="K14" s="70">
        <v>0</v>
      </c>
      <c r="L14" s="15">
        <v>1071.577</v>
      </c>
      <c r="M14" s="4">
        <v>973.35069999999996</v>
      </c>
      <c r="N14" s="78">
        <f t="shared" si="0"/>
        <v>98.226300000000037</v>
      </c>
      <c r="O14" s="72">
        <f t="shared" si="1"/>
        <v>90.833481868311836</v>
      </c>
      <c r="P14" s="66">
        <v>3.6</v>
      </c>
    </row>
    <row r="15" spans="3:16" x14ac:dyDescent="0.3">
      <c r="C15" s="16">
        <v>10</v>
      </c>
      <c r="D15" s="18">
        <v>0</v>
      </c>
      <c r="E15" s="3">
        <v>0</v>
      </c>
      <c r="F15" s="19">
        <v>0</v>
      </c>
      <c r="G15" s="19">
        <v>0</v>
      </c>
      <c r="H15" s="19">
        <v>0</v>
      </c>
      <c r="I15" s="19">
        <v>0</v>
      </c>
      <c r="J15" s="5">
        <v>0</v>
      </c>
      <c r="K15" s="70">
        <v>0</v>
      </c>
      <c r="L15" s="15">
        <v>1071.577</v>
      </c>
      <c r="M15" s="4">
        <v>975.13506999999959</v>
      </c>
      <c r="N15" s="78">
        <f t="shared" si="0"/>
        <v>96.441930000000411</v>
      </c>
      <c r="O15" s="72">
        <f t="shared" si="1"/>
        <v>90.999999999999957</v>
      </c>
      <c r="P15" s="49">
        <v>3.6</v>
      </c>
    </row>
    <row r="16" spans="3:16" x14ac:dyDescent="0.3">
      <c r="C16" s="16">
        <v>11</v>
      </c>
      <c r="D16" s="18">
        <v>0</v>
      </c>
      <c r="E16" s="3">
        <v>0</v>
      </c>
      <c r="F16" s="19">
        <v>0</v>
      </c>
      <c r="G16" s="19">
        <v>0</v>
      </c>
      <c r="H16" s="19">
        <v>0</v>
      </c>
      <c r="I16" s="19">
        <v>0</v>
      </c>
      <c r="J16" s="5">
        <v>0</v>
      </c>
      <c r="K16" s="70">
        <v>0</v>
      </c>
      <c r="L16" s="15">
        <v>1071.577</v>
      </c>
      <c r="M16" s="4">
        <v>945.13507000000004</v>
      </c>
      <c r="N16" s="78">
        <f t="shared" si="0"/>
        <v>126.44192999999996</v>
      </c>
      <c r="O16" s="72">
        <f t="shared" si="1"/>
        <v>88.200387839604616</v>
      </c>
      <c r="P16" s="49">
        <v>3.6</v>
      </c>
    </row>
    <row r="17" spans="3:16" ht="15" thickBot="1" x14ac:dyDescent="0.35">
      <c r="C17" s="16">
        <v>12</v>
      </c>
      <c r="D17" s="18">
        <v>0</v>
      </c>
      <c r="E17" s="3">
        <v>0</v>
      </c>
      <c r="F17" s="19">
        <v>0</v>
      </c>
      <c r="G17" s="19">
        <v>0</v>
      </c>
      <c r="H17" s="19">
        <v>0</v>
      </c>
      <c r="I17" s="19">
        <v>0</v>
      </c>
      <c r="J17" s="5">
        <v>0</v>
      </c>
      <c r="K17" s="70">
        <v>0</v>
      </c>
      <c r="L17" s="79">
        <v>1071.577</v>
      </c>
      <c r="M17" s="80">
        <v>995.13507000000004</v>
      </c>
      <c r="N17" s="81">
        <f t="shared" si="0"/>
        <v>76.441929999999957</v>
      </c>
      <c r="O17" s="72">
        <f t="shared" si="1"/>
        <v>92.866408106930251</v>
      </c>
      <c r="P17" s="68">
        <v>3.6</v>
      </c>
    </row>
    <row r="18" spans="3:16" ht="15" thickBot="1" x14ac:dyDescent="0.35">
      <c r="C18" s="53" t="s">
        <v>11</v>
      </c>
      <c r="D18" s="54">
        <f t="shared" ref="D18:N18" si="2">SUM(D6:D17)</f>
        <v>0</v>
      </c>
      <c r="E18" s="55">
        <f t="shared" si="2"/>
        <v>0</v>
      </c>
      <c r="F18" s="55">
        <f t="shared" si="2"/>
        <v>0</v>
      </c>
      <c r="G18" s="55">
        <f t="shared" si="2"/>
        <v>0</v>
      </c>
      <c r="H18" s="55">
        <f t="shared" si="2"/>
        <v>0</v>
      </c>
      <c r="I18" s="55">
        <f t="shared" si="2"/>
        <v>0</v>
      </c>
      <c r="J18" s="56">
        <f t="shared" si="2"/>
        <v>0</v>
      </c>
      <c r="K18" s="57">
        <f t="shared" si="2"/>
        <v>0</v>
      </c>
      <c r="L18" s="61">
        <f t="shared" si="2"/>
        <v>12858.923999999997</v>
      </c>
      <c r="M18" s="62">
        <f t="shared" si="2"/>
        <v>11653.836469999998</v>
      </c>
      <c r="N18" s="76">
        <f t="shared" si="2"/>
        <v>1205.0875300000014</v>
      </c>
      <c r="O18" s="60">
        <f t="shared" si="1"/>
        <v>90.628395268531023</v>
      </c>
      <c r="P18" s="51">
        <f>SUM(P6:P17)</f>
        <v>43.20000000000001</v>
      </c>
    </row>
    <row r="19" spans="3:16" ht="15" thickBot="1" x14ac:dyDescent="0.35">
      <c r="C19" s="35" t="s">
        <v>25</v>
      </c>
      <c r="D19" s="27" t="s">
        <v>17</v>
      </c>
      <c r="E19" s="28" t="s">
        <v>16</v>
      </c>
      <c r="F19" s="28" t="s">
        <v>16</v>
      </c>
      <c r="G19" s="28" t="s">
        <v>16</v>
      </c>
      <c r="H19" s="28" t="s">
        <v>16</v>
      </c>
      <c r="I19" s="28" t="s">
        <v>16</v>
      </c>
      <c r="J19" s="29" t="s">
        <v>16</v>
      </c>
      <c r="K19" s="27" t="s">
        <v>16</v>
      </c>
      <c r="L19" s="61" t="s">
        <v>16</v>
      </c>
      <c r="M19" s="62" t="s">
        <v>16</v>
      </c>
      <c r="N19" s="63" t="s">
        <v>16</v>
      </c>
      <c r="O19" s="35" t="s">
        <v>16</v>
      </c>
      <c r="P19" s="67" t="s">
        <v>17</v>
      </c>
    </row>
  </sheetData>
  <mergeCells count="6">
    <mergeCell ref="P4:P5"/>
    <mergeCell ref="C3:O3"/>
    <mergeCell ref="C4:C5"/>
    <mergeCell ref="D4:J4"/>
    <mergeCell ref="L4:N4"/>
    <mergeCell ref="O4:O5"/>
  </mergeCells>
  <phoneticPr fontId="1" type="noConversion"/>
  <pageMargins left="0.7" right="0.7" top="0.75" bottom="0.75" header="0.3" footer="0.3"/>
  <pageSetup paperSize="9" fitToWidth="0" orientation="landscape" verticalDpi="0" r:id="rId1"/>
  <colBreaks count="1" manualBreakCount="1">
    <brk id="16" min="2" max="35" man="1"/>
  </colBreaks>
  <ignoredErrors>
    <ignoredError sqref="O18" formula="1"/>
    <ignoredError sqref="D18:J18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AC39"/>
  <sheetViews>
    <sheetView topLeftCell="I1" zoomScaleNormal="100" zoomScaleSheetLayoutView="85" workbookViewId="0">
      <selection activeCell="AH24" sqref="AH24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7.625" style="2" customWidth="1"/>
    <col min="11" max="12" width="10.125" style="1" customWidth="1"/>
    <col min="13" max="13" width="7.875" style="1" bestFit="1" customWidth="1"/>
    <col min="14" max="14" width="7.375" style="1" customWidth="1"/>
    <col min="15" max="15" width="7.5" style="1" bestFit="1" customWidth="1"/>
    <col min="16" max="18" width="9" style="1" customWidth="1"/>
    <col min="19" max="19" width="12.625" style="2" bestFit="1" customWidth="1"/>
    <col min="20" max="20" width="17.75" style="1" bestFit="1" customWidth="1"/>
    <col min="21" max="29" width="14" style="1" customWidth="1"/>
    <col min="30" max="16384" width="8.75" style="1"/>
  </cols>
  <sheetData>
    <row r="2" spans="3:29" ht="15" thickBot="1" x14ac:dyDescent="0.35"/>
    <row r="3" spans="3:29" ht="15" thickBot="1" x14ac:dyDescent="0.35">
      <c r="C3" s="88" t="s">
        <v>20</v>
      </c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0"/>
      <c r="T3" s="99" t="s">
        <v>20</v>
      </c>
      <c r="U3" s="100"/>
      <c r="V3" s="100"/>
      <c r="W3" s="100"/>
      <c r="X3" s="100"/>
      <c r="Y3" s="100"/>
      <c r="Z3" s="100"/>
      <c r="AA3" s="100"/>
      <c r="AB3" s="100"/>
      <c r="AC3" s="101"/>
    </row>
    <row r="4" spans="3:29" s="2" customFormat="1" ht="14.55" customHeight="1" x14ac:dyDescent="0.3">
      <c r="C4" s="91" t="s">
        <v>0</v>
      </c>
      <c r="D4" s="93" t="s">
        <v>3</v>
      </c>
      <c r="E4" s="94"/>
      <c r="F4" s="94"/>
      <c r="G4" s="94"/>
      <c r="H4" s="94"/>
      <c r="I4" s="94"/>
      <c r="J4" s="95"/>
      <c r="K4" s="91" t="s">
        <v>13</v>
      </c>
      <c r="L4" s="96"/>
      <c r="M4" s="91" t="s">
        <v>12</v>
      </c>
      <c r="N4" s="96"/>
      <c r="O4" s="111"/>
      <c r="P4" s="91" t="s">
        <v>10</v>
      </c>
      <c r="Q4" s="96"/>
      <c r="R4" s="96"/>
      <c r="S4" s="97" t="s">
        <v>1</v>
      </c>
      <c r="T4" s="102" t="s">
        <v>35</v>
      </c>
      <c r="U4" s="104" t="s">
        <v>26</v>
      </c>
      <c r="V4" s="106" t="s">
        <v>27</v>
      </c>
      <c r="W4" s="106" t="s">
        <v>28</v>
      </c>
      <c r="X4" s="108" t="s">
        <v>29</v>
      </c>
      <c r="Y4" s="106" t="s">
        <v>30</v>
      </c>
      <c r="Z4" s="108" t="s">
        <v>31</v>
      </c>
      <c r="AA4" s="106" t="s">
        <v>32</v>
      </c>
      <c r="AB4" s="108" t="s">
        <v>33</v>
      </c>
      <c r="AC4" s="109" t="s">
        <v>34</v>
      </c>
    </row>
    <row r="5" spans="3:29" ht="15" thickBot="1" x14ac:dyDescent="0.35">
      <c r="C5" s="92"/>
      <c r="D5" s="7">
        <v>1</v>
      </c>
      <c r="E5" s="8">
        <v>0.8</v>
      </c>
      <c r="F5" s="8">
        <v>0.6</v>
      </c>
      <c r="G5" s="8">
        <v>0.4</v>
      </c>
      <c r="H5" s="8">
        <v>0.2</v>
      </c>
      <c r="I5" s="8">
        <v>0</v>
      </c>
      <c r="J5" s="9">
        <v>-1</v>
      </c>
      <c r="K5" s="22" t="s">
        <v>15</v>
      </c>
      <c r="L5" s="23" t="s">
        <v>14</v>
      </c>
      <c r="M5" s="22" t="s">
        <v>6</v>
      </c>
      <c r="N5" s="23" t="s">
        <v>5</v>
      </c>
      <c r="O5" s="24" t="s">
        <v>4</v>
      </c>
      <c r="P5" s="22" t="s">
        <v>7</v>
      </c>
      <c r="Q5" s="23" t="s">
        <v>8</v>
      </c>
      <c r="R5" s="52" t="s">
        <v>9</v>
      </c>
      <c r="S5" s="98"/>
      <c r="T5" s="103"/>
      <c r="U5" s="105"/>
      <c r="V5" s="107"/>
      <c r="W5" s="107"/>
      <c r="X5" s="107"/>
      <c r="Y5" s="107"/>
      <c r="Z5" s="107"/>
      <c r="AA5" s="107"/>
      <c r="AB5" s="107"/>
      <c r="AC5" s="110"/>
    </row>
    <row r="6" spans="3:29" x14ac:dyDescent="0.3">
      <c r="C6" s="17">
        <v>1</v>
      </c>
      <c r="D6" s="18">
        <v>24</v>
      </c>
      <c r="E6" s="19">
        <v>24</v>
      </c>
      <c r="F6" s="19">
        <v>5</v>
      </c>
      <c r="G6" s="19">
        <v>5</v>
      </c>
      <c r="H6" s="19">
        <v>5</v>
      </c>
      <c r="I6" s="19">
        <v>5</v>
      </c>
      <c r="J6" s="13">
        <v>5</v>
      </c>
      <c r="K6" s="39">
        <v>0</v>
      </c>
      <c r="L6" s="42">
        <v>0</v>
      </c>
      <c r="M6" s="20">
        <v>100</v>
      </c>
      <c r="N6" s="21">
        <v>99</v>
      </c>
      <c r="O6" s="13">
        <v>95.5</v>
      </c>
      <c r="P6" s="25">
        <v>34.567</v>
      </c>
      <c r="Q6" s="26">
        <v>31.455970000000001</v>
      </c>
      <c r="R6" s="45">
        <f>P6-Q6</f>
        <v>3.1110299999999995</v>
      </c>
      <c r="S6" s="48">
        <f>Q6/P6*100</f>
        <v>91</v>
      </c>
      <c r="T6" s="65" t="s">
        <v>24</v>
      </c>
      <c r="U6" s="3">
        <v>3600</v>
      </c>
      <c r="V6" s="3">
        <v>100</v>
      </c>
      <c r="W6" s="3">
        <v>500</v>
      </c>
      <c r="X6" s="3">
        <v>500</v>
      </c>
      <c r="Y6" s="3">
        <v>500</v>
      </c>
      <c r="Z6" s="3">
        <v>500</v>
      </c>
      <c r="AA6" s="3">
        <v>500</v>
      </c>
      <c r="AB6" s="3">
        <v>500</v>
      </c>
      <c r="AC6" s="5">
        <v>500</v>
      </c>
    </row>
    <row r="7" spans="3:29" x14ac:dyDescent="0.3">
      <c r="C7" s="16">
        <v>2</v>
      </c>
      <c r="D7" s="6">
        <v>24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5">
        <v>0</v>
      </c>
      <c r="K7" s="40">
        <v>0</v>
      </c>
      <c r="L7" s="43">
        <v>0</v>
      </c>
      <c r="M7" s="15">
        <v>100</v>
      </c>
      <c r="N7" s="14">
        <v>99</v>
      </c>
      <c r="O7" s="5">
        <v>95.5</v>
      </c>
      <c r="P7" s="15">
        <v>34.567</v>
      </c>
      <c r="Q7" s="4">
        <v>31.455970000000001</v>
      </c>
      <c r="R7" s="46">
        <f t="shared" ref="R7:R36" si="0">P7-Q7</f>
        <v>3.1110299999999995</v>
      </c>
      <c r="S7" s="49">
        <f t="shared" ref="S7:S37" si="1">Q7/P7*100</f>
        <v>91</v>
      </c>
      <c r="T7" s="6" t="s">
        <v>25</v>
      </c>
      <c r="U7" s="3" t="s">
        <v>17</v>
      </c>
      <c r="V7" s="3" t="s">
        <v>17</v>
      </c>
      <c r="W7" s="3" t="s">
        <v>17</v>
      </c>
      <c r="X7" s="3" t="s">
        <v>17</v>
      </c>
      <c r="Y7" s="3" t="s">
        <v>17</v>
      </c>
      <c r="Z7" s="3" t="s">
        <v>17</v>
      </c>
      <c r="AA7" s="3" t="s">
        <v>17</v>
      </c>
      <c r="AB7" s="3" t="s">
        <v>17</v>
      </c>
      <c r="AC7" s="5" t="s">
        <v>17</v>
      </c>
    </row>
    <row r="8" spans="3:29" ht="15" thickBot="1" x14ac:dyDescent="0.35">
      <c r="C8" s="16">
        <v>3</v>
      </c>
      <c r="D8" s="6">
        <v>24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5">
        <v>0</v>
      </c>
      <c r="K8" s="40">
        <v>0</v>
      </c>
      <c r="L8" s="43">
        <v>0</v>
      </c>
      <c r="M8" s="15">
        <v>100</v>
      </c>
      <c r="N8" s="14">
        <v>99</v>
      </c>
      <c r="O8" s="5">
        <v>95.5</v>
      </c>
      <c r="P8" s="15">
        <v>34.567</v>
      </c>
      <c r="Q8" s="4">
        <v>31.455970000000001</v>
      </c>
      <c r="R8" s="46">
        <f t="shared" si="0"/>
        <v>3.1110299999999995</v>
      </c>
      <c r="S8" s="49">
        <f t="shared" si="1"/>
        <v>91</v>
      </c>
      <c r="T8" s="7" t="s">
        <v>18</v>
      </c>
      <c r="U8" s="8" t="s">
        <v>17</v>
      </c>
      <c r="V8" s="8" t="s">
        <v>17</v>
      </c>
      <c r="W8" s="8" t="s">
        <v>17</v>
      </c>
      <c r="X8" s="8" t="s">
        <v>17</v>
      </c>
      <c r="Y8" s="8" t="s">
        <v>17</v>
      </c>
      <c r="Z8" s="8" t="s">
        <v>17</v>
      </c>
      <c r="AA8" s="8" t="s">
        <v>17</v>
      </c>
      <c r="AB8" s="8" t="s">
        <v>17</v>
      </c>
      <c r="AC8" s="9" t="s">
        <v>17</v>
      </c>
    </row>
    <row r="9" spans="3:29" x14ac:dyDescent="0.3">
      <c r="C9" s="16">
        <v>4</v>
      </c>
      <c r="D9" s="6">
        <v>24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0</v>
      </c>
      <c r="K9" s="40">
        <v>0</v>
      </c>
      <c r="L9" s="43">
        <v>0</v>
      </c>
      <c r="M9" s="15">
        <v>100</v>
      </c>
      <c r="N9" s="14">
        <v>99</v>
      </c>
      <c r="O9" s="5">
        <v>95.5</v>
      </c>
      <c r="P9" s="15">
        <v>34.567</v>
      </c>
      <c r="Q9" s="4">
        <v>31.455970000000001</v>
      </c>
      <c r="R9" s="46">
        <f t="shared" si="0"/>
        <v>3.1110299999999995</v>
      </c>
      <c r="S9" s="49">
        <f t="shared" si="1"/>
        <v>91</v>
      </c>
    </row>
    <row r="10" spans="3:29" x14ac:dyDescent="0.3">
      <c r="C10" s="16">
        <v>5</v>
      </c>
      <c r="D10" s="6">
        <v>24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0</v>
      </c>
      <c r="K10" s="40">
        <v>0</v>
      </c>
      <c r="L10" s="43">
        <v>0</v>
      </c>
      <c r="M10" s="15">
        <v>100</v>
      </c>
      <c r="N10" s="14">
        <v>99</v>
      </c>
      <c r="O10" s="5">
        <v>95.5</v>
      </c>
      <c r="P10" s="15">
        <v>34.567</v>
      </c>
      <c r="Q10" s="4">
        <v>31.455970000000001</v>
      </c>
      <c r="R10" s="46">
        <f t="shared" si="0"/>
        <v>3.1110299999999995</v>
      </c>
      <c r="S10" s="49">
        <f t="shared" si="1"/>
        <v>91</v>
      </c>
    </row>
    <row r="11" spans="3:29" x14ac:dyDescent="0.3">
      <c r="C11" s="16">
        <v>6</v>
      </c>
      <c r="D11" s="6">
        <v>24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5">
        <v>0</v>
      </c>
      <c r="K11" s="40">
        <v>0</v>
      </c>
      <c r="L11" s="43">
        <v>0</v>
      </c>
      <c r="M11" s="15">
        <v>100</v>
      </c>
      <c r="N11" s="14">
        <v>99</v>
      </c>
      <c r="O11" s="5">
        <v>95.5</v>
      </c>
      <c r="P11" s="15">
        <v>34.567</v>
      </c>
      <c r="Q11" s="4">
        <v>31.455970000000001</v>
      </c>
      <c r="R11" s="46">
        <f t="shared" si="0"/>
        <v>3.1110299999999995</v>
      </c>
      <c r="S11" s="49">
        <f t="shared" si="1"/>
        <v>91</v>
      </c>
    </row>
    <row r="12" spans="3:29" x14ac:dyDescent="0.3">
      <c r="C12" s="16">
        <v>7</v>
      </c>
      <c r="D12" s="6">
        <v>24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">
        <v>0</v>
      </c>
      <c r="K12" s="40">
        <v>0</v>
      </c>
      <c r="L12" s="43">
        <v>0</v>
      </c>
      <c r="M12" s="15">
        <v>100</v>
      </c>
      <c r="N12" s="14">
        <v>99</v>
      </c>
      <c r="O12" s="5">
        <v>95.5</v>
      </c>
      <c r="P12" s="15">
        <v>34.567</v>
      </c>
      <c r="Q12" s="4">
        <v>31.455970000000001</v>
      </c>
      <c r="R12" s="46">
        <f t="shared" si="0"/>
        <v>3.1110299999999995</v>
      </c>
      <c r="S12" s="49">
        <f t="shared" si="1"/>
        <v>91</v>
      </c>
    </row>
    <row r="13" spans="3:29" x14ac:dyDescent="0.3">
      <c r="C13" s="16">
        <v>8</v>
      </c>
      <c r="D13" s="6">
        <v>24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5">
        <v>0</v>
      </c>
      <c r="K13" s="40">
        <v>0</v>
      </c>
      <c r="L13" s="43">
        <v>0</v>
      </c>
      <c r="M13" s="15">
        <v>100</v>
      </c>
      <c r="N13" s="14">
        <v>99</v>
      </c>
      <c r="O13" s="5">
        <v>95.5</v>
      </c>
      <c r="P13" s="15">
        <v>34.567</v>
      </c>
      <c r="Q13" s="4">
        <v>31.455970000000001</v>
      </c>
      <c r="R13" s="46">
        <f t="shared" si="0"/>
        <v>3.1110299999999995</v>
      </c>
      <c r="S13" s="49">
        <f t="shared" si="1"/>
        <v>91</v>
      </c>
    </row>
    <row r="14" spans="3:29" x14ac:dyDescent="0.3">
      <c r="C14" s="16">
        <v>9</v>
      </c>
      <c r="D14" s="6">
        <v>24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5">
        <v>0</v>
      </c>
      <c r="K14" s="40">
        <v>0</v>
      </c>
      <c r="L14" s="43">
        <v>0</v>
      </c>
      <c r="M14" s="15">
        <v>100</v>
      </c>
      <c r="N14" s="14">
        <v>99</v>
      </c>
      <c r="O14" s="5">
        <v>95.5</v>
      </c>
      <c r="P14" s="15">
        <v>34.567</v>
      </c>
      <c r="Q14" s="4">
        <v>31.455970000000001</v>
      </c>
      <c r="R14" s="46">
        <f t="shared" si="0"/>
        <v>3.1110299999999995</v>
      </c>
      <c r="S14" s="49">
        <f t="shared" si="1"/>
        <v>91</v>
      </c>
    </row>
    <row r="15" spans="3:29" x14ac:dyDescent="0.3">
      <c r="C15" s="16">
        <v>10</v>
      </c>
      <c r="D15" s="6">
        <v>24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0</v>
      </c>
      <c r="K15" s="40">
        <v>0</v>
      </c>
      <c r="L15" s="43">
        <v>0</v>
      </c>
      <c r="M15" s="15">
        <v>100</v>
      </c>
      <c r="N15" s="14">
        <v>99</v>
      </c>
      <c r="O15" s="5">
        <v>95.5</v>
      </c>
      <c r="P15" s="15">
        <v>34.567</v>
      </c>
      <c r="Q15" s="4">
        <v>31.455970000000001</v>
      </c>
      <c r="R15" s="46">
        <f t="shared" si="0"/>
        <v>3.1110299999999995</v>
      </c>
      <c r="S15" s="49">
        <f t="shared" si="1"/>
        <v>91</v>
      </c>
    </row>
    <row r="16" spans="3:29" x14ac:dyDescent="0.3">
      <c r="C16" s="16">
        <v>11</v>
      </c>
      <c r="D16" s="6">
        <v>24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5">
        <v>0</v>
      </c>
      <c r="K16" s="40">
        <v>0</v>
      </c>
      <c r="L16" s="43">
        <v>0</v>
      </c>
      <c r="M16" s="15">
        <v>100</v>
      </c>
      <c r="N16" s="14">
        <v>99</v>
      </c>
      <c r="O16" s="5">
        <v>95.5</v>
      </c>
      <c r="P16" s="15">
        <v>34.567</v>
      </c>
      <c r="Q16" s="4">
        <v>31.455970000000001</v>
      </c>
      <c r="R16" s="46">
        <f t="shared" si="0"/>
        <v>3.1110299999999995</v>
      </c>
      <c r="S16" s="49">
        <f t="shared" si="1"/>
        <v>91</v>
      </c>
    </row>
    <row r="17" spans="3:27" x14ac:dyDescent="0.3">
      <c r="C17" s="16">
        <v>12</v>
      </c>
      <c r="D17" s="6">
        <v>24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5">
        <v>0</v>
      </c>
      <c r="K17" s="40">
        <v>0</v>
      </c>
      <c r="L17" s="43">
        <v>0</v>
      </c>
      <c r="M17" s="15">
        <v>100</v>
      </c>
      <c r="N17" s="14">
        <v>99</v>
      </c>
      <c r="O17" s="5">
        <v>95.5</v>
      </c>
      <c r="P17" s="15">
        <v>34.567</v>
      </c>
      <c r="Q17" s="4">
        <v>31.455970000000001</v>
      </c>
      <c r="R17" s="46">
        <f t="shared" si="0"/>
        <v>3.1110299999999995</v>
      </c>
      <c r="S17" s="49">
        <f t="shared" si="1"/>
        <v>91</v>
      </c>
    </row>
    <row r="18" spans="3:27" x14ac:dyDescent="0.3">
      <c r="C18" s="16">
        <v>13</v>
      </c>
      <c r="D18" s="6">
        <v>24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5">
        <v>0</v>
      </c>
      <c r="K18" s="40">
        <v>0</v>
      </c>
      <c r="L18" s="43">
        <v>0</v>
      </c>
      <c r="M18" s="15">
        <v>100</v>
      </c>
      <c r="N18" s="14">
        <v>99</v>
      </c>
      <c r="O18" s="5">
        <v>95.5</v>
      </c>
      <c r="P18" s="15">
        <v>34.567</v>
      </c>
      <c r="Q18" s="4">
        <v>31.455970000000001</v>
      </c>
      <c r="R18" s="46">
        <f t="shared" si="0"/>
        <v>3.1110299999999995</v>
      </c>
      <c r="S18" s="49">
        <f t="shared" si="1"/>
        <v>91</v>
      </c>
    </row>
    <row r="19" spans="3:27" x14ac:dyDescent="0.3">
      <c r="C19" s="16">
        <v>14</v>
      </c>
      <c r="D19" s="6">
        <v>24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5">
        <v>0</v>
      </c>
      <c r="K19" s="40">
        <v>0</v>
      </c>
      <c r="L19" s="43">
        <v>0</v>
      </c>
      <c r="M19" s="15">
        <v>100</v>
      </c>
      <c r="N19" s="14">
        <v>99</v>
      </c>
      <c r="O19" s="5">
        <v>95.5</v>
      </c>
      <c r="P19" s="15">
        <v>34.567</v>
      </c>
      <c r="Q19" s="4">
        <v>31.455970000000001</v>
      </c>
      <c r="R19" s="46">
        <f t="shared" si="0"/>
        <v>3.1110299999999995</v>
      </c>
      <c r="S19" s="49">
        <f t="shared" si="1"/>
        <v>91</v>
      </c>
    </row>
    <row r="20" spans="3:27" x14ac:dyDescent="0.3">
      <c r="C20" s="16">
        <v>15</v>
      </c>
      <c r="D20" s="6">
        <v>24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5">
        <v>0</v>
      </c>
      <c r="K20" s="40">
        <v>0</v>
      </c>
      <c r="L20" s="43">
        <v>0</v>
      </c>
      <c r="M20" s="15">
        <v>100</v>
      </c>
      <c r="N20" s="14">
        <v>99</v>
      </c>
      <c r="O20" s="5">
        <v>95.5</v>
      </c>
      <c r="P20" s="15">
        <v>34.567</v>
      </c>
      <c r="Q20" s="4">
        <v>31.455970000000001</v>
      </c>
      <c r="R20" s="46">
        <f t="shared" si="0"/>
        <v>3.1110299999999995</v>
      </c>
      <c r="S20" s="49">
        <f t="shared" si="1"/>
        <v>91</v>
      </c>
    </row>
    <row r="21" spans="3:27" x14ac:dyDescent="0.3">
      <c r="C21" s="16">
        <v>16</v>
      </c>
      <c r="D21" s="6">
        <v>24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5">
        <v>0</v>
      </c>
      <c r="K21" s="40">
        <v>0</v>
      </c>
      <c r="L21" s="43">
        <v>0</v>
      </c>
      <c r="M21" s="15">
        <v>100</v>
      </c>
      <c r="N21" s="14">
        <v>99</v>
      </c>
      <c r="O21" s="5">
        <v>95.5</v>
      </c>
      <c r="P21" s="15">
        <v>34.567</v>
      </c>
      <c r="Q21" s="4">
        <v>31.455970000000001</v>
      </c>
      <c r="R21" s="46">
        <f t="shared" si="0"/>
        <v>3.1110299999999995</v>
      </c>
      <c r="S21" s="49">
        <f t="shared" si="1"/>
        <v>91</v>
      </c>
    </row>
    <row r="22" spans="3:27" x14ac:dyDescent="0.3">
      <c r="C22" s="16">
        <v>17</v>
      </c>
      <c r="D22" s="6">
        <v>24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5">
        <v>0</v>
      </c>
      <c r="K22" s="40">
        <v>0</v>
      </c>
      <c r="L22" s="43">
        <v>0</v>
      </c>
      <c r="M22" s="15">
        <v>100</v>
      </c>
      <c r="N22" s="14">
        <v>99</v>
      </c>
      <c r="O22" s="5">
        <v>95.5</v>
      </c>
      <c r="P22" s="15">
        <v>34.567</v>
      </c>
      <c r="Q22" s="4">
        <v>31.455970000000001</v>
      </c>
      <c r="R22" s="46">
        <f t="shared" si="0"/>
        <v>3.1110299999999995</v>
      </c>
      <c r="S22" s="49">
        <f t="shared" si="1"/>
        <v>91</v>
      </c>
    </row>
    <row r="23" spans="3:27" x14ac:dyDescent="0.3">
      <c r="C23" s="16">
        <v>18</v>
      </c>
      <c r="D23" s="6">
        <v>24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5">
        <v>0</v>
      </c>
      <c r="K23" s="40">
        <v>0</v>
      </c>
      <c r="L23" s="43">
        <v>0</v>
      </c>
      <c r="M23" s="15">
        <v>100</v>
      </c>
      <c r="N23" s="14">
        <v>99</v>
      </c>
      <c r="O23" s="5">
        <v>95.5</v>
      </c>
      <c r="P23" s="15">
        <v>34.567</v>
      </c>
      <c r="Q23" s="4">
        <v>31.455970000000001</v>
      </c>
      <c r="R23" s="46">
        <f t="shared" si="0"/>
        <v>3.1110299999999995</v>
      </c>
      <c r="S23" s="49">
        <f t="shared" si="1"/>
        <v>91</v>
      </c>
    </row>
    <row r="24" spans="3:27" x14ac:dyDescent="0.3">
      <c r="C24" s="16">
        <v>19</v>
      </c>
      <c r="D24" s="6">
        <v>24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5">
        <v>0</v>
      </c>
      <c r="K24" s="40">
        <v>0</v>
      </c>
      <c r="L24" s="43">
        <v>0</v>
      </c>
      <c r="M24" s="15">
        <v>100</v>
      </c>
      <c r="N24" s="14">
        <v>99</v>
      </c>
      <c r="O24" s="5">
        <v>95.5</v>
      </c>
      <c r="P24" s="15">
        <v>34.567</v>
      </c>
      <c r="Q24" s="4">
        <v>31.455970000000001</v>
      </c>
      <c r="R24" s="46">
        <f t="shared" si="0"/>
        <v>3.1110299999999995</v>
      </c>
      <c r="S24" s="49">
        <f t="shared" si="1"/>
        <v>91</v>
      </c>
    </row>
    <row r="25" spans="3:27" x14ac:dyDescent="0.3">
      <c r="C25" s="16">
        <v>20</v>
      </c>
      <c r="D25" s="6">
        <v>24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5">
        <v>0</v>
      </c>
      <c r="K25" s="40">
        <v>0</v>
      </c>
      <c r="L25" s="43">
        <v>0</v>
      </c>
      <c r="M25" s="15">
        <v>100</v>
      </c>
      <c r="N25" s="14">
        <v>99</v>
      </c>
      <c r="O25" s="5">
        <v>95.5</v>
      </c>
      <c r="P25" s="15">
        <v>34.567</v>
      </c>
      <c r="Q25" s="4">
        <v>31.455970000000001</v>
      </c>
      <c r="R25" s="46">
        <f t="shared" si="0"/>
        <v>3.1110299999999995</v>
      </c>
      <c r="S25" s="49">
        <f t="shared" si="1"/>
        <v>91</v>
      </c>
    </row>
    <row r="26" spans="3:27" x14ac:dyDescent="0.3">
      <c r="C26" s="16">
        <v>21</v>
      </c>
      <c r="D26" s="6">
        <v>24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5">
        <v>0</v>
      </c>
      <c r="K26" s="40">
        <v>0</v>
      </c>
      <c r="L26" s="43">
        <v>0</v>
      </c>
      <c r="M26" s="15">
        <v>100</v>
      </c>
      <c r="N26" s="14">
        <v>99</v>
      </c>
      <c r="O26" s="5">
        <v>95.5</v>
      </c>
      <c r="P26" s="15">
        <v>34.567</v>
      </c>
      <c r="Q26" s="4">
        <v>31.455970000000001</v>
      </c>
      <c r="R26" s="46">
        <f t="shared" si="0"/>
        <v>3.1110299999999995</v>
      </c>
      <c r="S26" s="49">
        <f t="shared" si="1"/>
        <v>91</v>
      </c>
    </row>
    <row r="27" spans="3:27" x14ac:dyDescent="0.3">
      <c r="C27" s="16">
        <v>22</v>
      </c>
      <c r="D27" s="6">
        <v>24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5">
        <v>0</v>
      </c>
      <c r="K27" s="40">
        <v>0</v>
      </c>
      <c r="L27" s="43">
        <v>0</v>
      </c>
      <c r="M27" s="15">
        <v>100</v>
      </c>
      <c r="N27" s="14">
        <v>99</v>
      </c>
      <c r="O27" s="5">
        <v>95.5</v>
      </c>
      <c r="P27" s="15">
        <v>34.567</v>
      </c>
      <c r="Q27" s="4">
        <v>31.455970000000001</v>
      </c>
      <c r="R27" s="46">
        <f t="shared" si="0"/>
        <v>3.1110299999999995</v>
      </c>
      <c r="S27" s="49">
        <f t="shared" si="1"/>
        <v>91</v>
      </c>
    </row>
    <row r="28" spans="3:27" x14ac:dyDescent="0.3">
      <c r="C28" s="16">
        <v>23</v>
      </c>
      <c r="D28" s="6">
        <v>24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5">
        <v>0</v>
      </c>
      <c r="K28" s="40">
        <v>0</v>
      </c>
      <c r="L28" s="43">
        <v>0</v>
      </c>
      <c r="M28" s="15">
        <v>100</v>
      </c>
      <c r="N28" s="14">
        <v>99</v>
      </c>
      <c r="O28" s="5">
        <v>95.5</v>
      </c>
      <c r="P28" s="15">
        <v>34.567</v>
      </c>
      <c r="Q28" s="4">
        <v>31.455970000000001</v>
      </c>
      <c r="R28" s="46">
        <f t="shared" si="0"/>
        <v>3.1110299999999995</v>
      </c>
      <c r="S28" s="49">
        <f t="shared" si="1"/>
        <v>91</v>
      </c>
    </row>
    <row r="29" spans="3:27" x14ac:dyDescent="0.3">
      <c r="C29" s="16">
        <v>24</v>
      </c>
      <c r="D29" s="6">
        <v>24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5">
        <v>0</v>
      </c>
      <c r="K29" s="40">
        <v>0</v>
      </c>
      <c r="L29" s="43">
        <v>0</v>
      </c>
      <c r="M29" s="15">
        <v>100</v>
      </c>
      <c r="N29" s="14">
        <v>99</v>
      </c>
      <c r="O29" s="5">
        <v>95.5</v>
      </c>
      <c r="P29" s="15">
        <v>34.567</v>
      </c>
      <c r="Q29" s="4">
        <v>31.455970000000001</v>
      </c>
      <c r="R29" s="46">
        <f t="shared" si="0"/>
        <v>3.1110299999999995</v>
      </c>
      <c r="S29" s="49">
        <f t="shared" si="1"/>
        <v>91</v>
      </c>
    </row>
    <row r="30" spans="3:27" x14ac:dyDescent="0.3">
      <c r="C30" s="16">
        <v>25</v>
      </c>
      <c r="D30" s="6">
        <v>24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5">
        <v>0</v>
      </c>
      <c r="K30" s="40">
        <v>0</v>
      </c>
      <c r="L30" s="43">
        <v>0</v>
      </c>
      <c r="M30" s="15">
        <v>100</v>
      </c>
      <c r="N30" s="14">
        <v>99</v>
      </c>
      <c r="O30" s="5">
        <v>95.5</v>
      </c>
      <c r="P30" s="15">
        <v>34.567</v>
      </c>
      <c r="Q30" s="4">
        <v>31.455970000000001</v>
      </c>
      <c r="R30" s="46">
        <f t="shared" si="0"/>
        <v>3.1110299999999995</v>
      </c>
      <c r="S30" s="49">
        <f t="shared" si="1"/>
        <v>91</v>
      </c>
    </row>
    <row r="31" spans="3:27" x14ac:dyDescent="0.3">
      <c r="C31" s="16">
        <v>26</v>
      </c>
      <c r="D31" s="6">
        <v>24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5">
        <v>0</v>
      </c>
      <c r="K31" s="40">
        <v>0</v>
      </c>
      <c r="L31" s="43">
        <v>0</v>
      </c>
      <c r="M31" s="15">
        <v>100</v>
      </c>
      <c r="N31" s="14">
        <v>99</v>
      </c>
      <c r="O31" s="5">
        <v>95.5</v>
      </c>
      <c r="P31" s="15">
        <v>34.567</v>
      </c>
      <c r="Q31" s="4">
        <v>31.455970000000001</v>
      </c>
      <c r="R31" s="46">
        <f t="shared" si="0"/>
        <v>3.1110299999999995</v>
      </c>
      <c r="S31" s="49">
        <f t="shared" si="1"/>
        <v>91</v>
      </c>
    </row>
    <row r="32" spans="3:27" x14ac:dyDescent="0.3">
      <c r="C32" s="16">
        <v>27</v>
      </c>
      <c r="D32" s="6">
        <v>24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5">
        <v>0</v>
      </c>
      <c r="K32" s="40">
        <v>0</v>
      </c>
      <c r="L32" s="43">
        <v>0</v>
      </c>
      <c r="M32" s="15">
        <v>100</v>
      </c>
      <c r="N32" s="14">
        <v>99</v>
      </c>
      <c r="O32" s="5">
        <v>95.5</v>
      </c>
      <c r="P32" s="15">
        <v>34.567</v>
      </c>
      <c r="Q32" s="4">
        <v>31.455970000000001</v>
      </c>
      <c r="R32" s="46">
        <f t="shared" si="0"/>
        <v>3.1110299999999995</v>
      </c>
      <c r="S32" s="49">
        <f t="shared" si="1"/>
        <v>91</v>
      </c>
      <c r="AA32" s="1" t="s">
        <v>41</v>
      </c>
    </row>
    <row r="33" spans="3:19" x14ac:dyDescent="0.3">
      <c r="C33" s="16">
        <v>28</v>
      </c>
      <c r="D33" s="6">
        <v>24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5">
        <v>0</v>
      </c>
      <c r="K33" s="40">
        <v>0</v>
      </c>
      <c r="L33" s="43">
        <v>0</v>
      </c>
      <c r="M33" s="15">
        <v>100</v>
      </c>
      <c r="N33" s="14">
        <v>99</v>
      </c>
      <c r="O33" s="5">
        <v>95.5</v>
      </c>
      <c r="P33" s="15">
        <v>34.567</v>
      </c>
      <c r="Q33" s="4">
        <v>31.455970000000001</v>
      </c>
      <c r="R33" s="46">
        <f t="shared" si="0"/>
        <v>3.1110299999999995</v>
      </c>
      <c r="S33" s="49">
        <f t="shared" si="1"/>
        <v>91</v>
      </c>
    </row>
    <row r="34" spans="3:19" x14ac:dyDescent="0.3">
      <c r="C34" s="16">
        <v>29</v>
      </c>
      <c r="D34" s="6">
        <v>24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5">
        <v>0</v>
      </c>
      <c r="K34" s="40">
        <v>0</v>
      </c>
      <c r="L34" s="43">
        <v>0</v>
      </c>
      <c r="M34" s="15">
        <v>100</v>
      </c>
      <c r="N34" s="14">
        <v>99</v>
      </c>
      <c r="O34" s="5">
        <v>95.5</v>
      </c>
      <c r="P34" s="15">
        <v>34.567</v>
      </c>
      <c r="Q34" s="4">
        <v>31.455970000000001</v>
      </c>
      <c r="R34" s="46">
        <f t="shared" si="0"/>
        <v>3.1110299999999995</v>
      </c>
      <c r="S34" s="49">
        <f t="shared" si="1"/>
        <v>91</v>
      </c>
    </row>
    <row r="35" spans="3:19" x14ac:dyDescent="0.3">
      <c r="C35" s="16">
        <v>30</v>
      </c>
      <c r="D35" s="6">
        <v>24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5">
        <v>0</v>
      </c>
      <c r="K35" s="40">
        <v>0</v>
      </c>
      <c r="L35" s="43">
        <v>0</v>
      </c>
      <c r="M35" s="15">
        <v>100</v>
      </c>
      <c r="N35" s="14">
        <v>99</v>
      </c>
      <c r="O35" s="5">
        <v>95.5</v>
      </c>
      <c r="P35" s="15">
        <v>34.567</v>
      </c>
      <c r="Q35" s="4">
        <v>31.455970000000001</v>
      </c>
      <c r="R35" s="46">
        <f t="shared" si="0"/>
        <v>3.1110299999999995</v>
      </c>
      <c r="S35" s="49">
        <f t="shared" si="1"/>
        <v>91</v>
      </c>
    </row>
    <row r="36" spans="3:19" ht="15" thickBot="1" x14ac:dyDescent="0.35">
      <c r="C36" s="31">
        <v>31</v>
      </c>
      <c r="D36" s="10">
        <v>24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2">
        <v>0</v>
      </c>
      <c r="K36" s="41">
        <v>0</v>
      </c>
      <c r="L36" s="44">
        <v>0</v>
      </c>
      <c r="M36" s="32">
        <v>100</v>
      </c>
      <c r="N36" s="33">
        <v>99</v>
      </c>
      <c r="O36" s="12">
        <v>95.5</v>
      </c>
      <c r="P36" s="32">
        <v>34.567</v>
      </c>
      <c r="Q36" s="34">
        <v>31.455970000000001</v>
      </c>
      <c r="R36" s="47">
        <f t="shared" si="0"/>
        <v>3.1110299999999995</v>
      </c>
      <c r="S36" s="50">
        <f t="shared" si="1"/>
        <v>91</v>
      </c>
    </row>
    <row r="37" spans="3:19" ht="15" thickBot="1" x14ac:dyDescent="0.35">
      <c r="C37" s="53" t="s">
        <v>11</v>
      </c>
      <c r="D37" s="54">
        <f>SUM(D6:D36)</f>
        <v>744</v>
      </c>
      <c r="E37" s="55">
        <f t="shared" ref="E37:J37" si="2">SUM(E6:E36)</f>
        <v>24</v>
      </c>
      <c r="F37" s="55">
        <f t="shared" si="2"/>
        <v>5</v>
      </c>
      <c r="G37" s="55">
        <f t="shared" si="2"/>
        <v>5</v>
      </c>
      <c r="H37" s="55">
        <f t="shared" si="2"/>
        <v>5</v>
      </c>
      <c r="I37" s="55">
        <f t="shared" si="2"/>
        <v>5</v>
      </c>
      <c r="J37" s="56">
        <f t="shared" si="2"/>
        <v>5</v>
      </c>
      <c r="K37" s="57">
        <f>SUM(K6:K36)</f>
        <v>0</v>
      </c>
      <c r="L37" s="64">
        <f>SUM(L6:L36)</f>
        <v>0</v>
      </c>
      <c r="M37" s="59">
        <f>MAX(M6:M36)</f>
        <v>100</v>
      </c>
      <c r="N37" s="58">
        <f>AVERAGE(N6:N36)</f>
        <v>99</v>
      </c>
      <c r="O37" s="56">
        <f>MIN(O6:O36)</f>
        <v>95.5</v>
      </c>
      <c r="P37" s="27">
        <f t="shared" ref="P37" si="3">SUM(P6:P36)</f>
        <v>1071.577</v>
      </c>
      <c r="Q37" s="28">
        <f t="shared" ref="Q37" si="4">SUM(Q6:Q36)</f>
        <v>975.13506999999959</v>
      </c>
      <c r="R37" s="29">
        <f t="shared" ref="R37" si="5">SUM(R6:R36)</f>
        <v>96.441929999999985</v>
      </c>
      <c r="S37" s="60">
        <f t="shared" si="1"/>
        <v>90.999999999999957</v>
      </c>
    </row>
    <row r="38" spans="3:19" ht="15" thickBot="1" x14ac:dyDescent="0.35">
      <c r="C38" s="35" t="s">
        <v>25</v>
      </c>
      <c r="D38" s="27" t="s">
        <v>17</v>
      </c>
      <c r="E38" s="28" t="s">
        <v>16</v>
      </c>
      <c r="F38" s="28" t="s">
        <v>16</v>
      </c>
      <c r="G38" s="28" t="s">
        <v>16</v>
      </c>
      <c r="H38" s="28" t="s">
        <v>16</v>
      </c>
      <c r="I38" s="28" t="s">
        <v>16</v>
      </c>
      <c r="J38" s="29" t="s">
        <v>16</v>
      </c>
      <c r="K38" s="27" t="s">
        <v>16</v>
      </c>
      <c r="L38" s="29" t="s">
        <v>16</v>
      </c>
      <c r="M38" s="27" t="s">
        <v>16</v>
      </c>
      <c r="N38" s="28" t="s">
        <v>16</v>
      </c>
      <c r="O38" s="29" t="s">
        <v>16</v>
      </c>
      <c r="P38" s="61" t="s">
        <v>16</v>
      </c>
      <c r="Q38" s="62" t="s">
        <v>16</v>
      </c>
      <c r="R38" s="63" t="s">
        <v>16</v>
      </c>
      <c r="S38" s="35" t="s">
        <v>16</v>
      </c>
    </row>
    <row r="39" spans="3:19" ht="15" thickBot="1" x14ac:dyDescent="0.35">
      <c r="C39" s="35" t="s">
        <v>18</v>
      </c>
      <c r="D39" s="27" t="s">
        <v>17</v>
      </c>
      <c r="E39" s="28" t="s">
        <v>16</v>
      </c>
      <c r="F39" s="28" t="s">
        <v>16</v>
      </c>
      <c r="G39" s="28" t="s">
        <v>16</v>
      </c>
      <c r="H39" s="28" t="s">
        <v>16</v>
      </c>
      <c r="I39" s="28" t="s">
        <v>16</v>
      </c>
      <c r="J39" s="29" t="s">
        <v>16</v>
      </c>
      <c r="K39" s="27" t="s">
        <v>16</v>
      </c>
      <c r="L39" s="29" t="s">
        <v>16</v>
      </c>
      <c r="M39" s="27" t="s">
        <v>16</v>
      </c>
      <c r="N39" s="28" t="s">
        <v>16</v>
      </c>
      <c r="O39" s="29" t="s">
        <v>16</v>
      </c>
      <c r="P39" s="61" t="s">
        <v>16</v>
      </c>
      <c r="Q39" s="62" t="s">
        <v>16</v>
      </c>
      <c r="R39" s="63" t="s">
        <v>16</v>
      </c>
      <c r="S39" s="35" t="s">
        <v>16</v>
      </c>
    </row>
  </sheetData>
  <mergeCells count="18">
    <mergeCell ref="C3:S3"/>
    <mergeCell ref="D4:J4"/>
    <mergeCell ref="C4:C5"/>
    <mergeCell ref="S4:S5"/>
    <mergeCell ref="M4:O4"/>
    <mergeCell ref="P4:R4"/>
    <mergeCell ref="K4:L4"/>
    <mergeCell ref="T3:AC3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</mergeCells>
  <phoneticPr fontId="1" type="noConversion"/>
  <pageMargins left="0.7" right="0.7" top="0.75" bottom="0.75" header="0.3" footer="0.3"/>
  <pageSetup paperSize="9" scale="95" fitToWidth="0" orientation="landscape" verticalDpi="0" r:id="rId1"/>
  <ignoredErrors>
    <ignoredError sqref="D37:J37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dimension ref="C2:V40"/>
  <sheetViews>
    <sheetView tabSelected="1" zoomScaleNormal="100" zoomScaleSheetLayoutView="100" workbookViewId="0">
      <selection activeCell="AB25" sqref="AB25:AB26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s="116" t="s">
        <v>21</v>
      </c>
      <c r="D3" s="117"/>
      <c r="E3" s="117"/>
      <c r="F3" s="117"/>
      <c r="G3" s="117"/>
      <c r="H3" s="117"/>
      <c r="I3" s="117"/>
      <c r="J3" s="117"/>
      <c r="K3" s="117"/>
      <c r="L3" s="117"/>
      <c r="M3" s="118"/>
    </row>
    <row r="4" spans="3:13" s="2" customFormat="1" x14ac:dyDescent="0.3">
      <c r="C4" s="91" t="s">
        <v>19</v>
      </c>
      <c r="D4" s="93" t="s">
        <v>3</v>
      </c>
      <c r="E4" s="94"/>
      <c r="F4" s="94"/>
      <c r="G4" s="94"/>
      <c r="H4" s="94"/>
      <c r="I4" s="94"/>
      <c r="J4" s="95"/>
      <c r="K4" s="91" t="s">
        <v>2</v>
      </c>
      <c r="L4" s="96"/>
      <c r="M4" s="111"/>
    </row>
    <row r="5" spans="3:13" ht="15" thickBot="1" x14ac:dyDescent="0.35">
      <c r="C5" s="92"/>
      <c r="D5" s="7">
        <v>1</v>
      </c>
      <c r="E5" s="8">
        <v>0.8</v>
      </c>
      <c r="F5" s="8">
        <v>0.6</v>
      </c>
      <c r="G5" s="8">
        <v>0.4</v>
      </c>
      <c r="H5" s="8">
        <v>0.2</v>
      </c>
      <c r="I5" s="8">
        <v>0</v>
      </c>
      <c r="J5" s="9">
        <v>-1</v>
      </c>
      <c r="K5" s="22" t="s">
        <v>6</v>
      </c>
      <c r="L5" s="23" t="s">
        <v>5</v>
      </c>
      <c r="M5" s="24" t="s">
        <v>4</v>
      </c>
    </row>
    <row r="6" spans="3:13" x14ac:dyDescent="0.3">
      <c r="C6" s="17">
        <v>0</v>
      </c>
      <c r="D6" s="18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3">
        <v>1</v>
      </c>
      <c r="K6" s="20">
        <v>100</v>
      </c>
      <c r="L6" s="21">
        <v>99</v>
      </c>
      <c r="M6" s="13">
        <v>95.5</v>
      </c>
    </row>
    <row r="7" spans="3:13" x14ac:dyDescent="0.3">
      <c r="C7" s="16">
        <v>1</v>
      </c>
      <c r="D7" s="6">
        <v>1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5">
        <v>0</v>
      </c>
      <c r="K7" s="15">
        <v>100</v>
      </c>
      <c r="L7" s="14">
        <v>99</v>
      </c>
      <c r="M7" s="5">
        <v>95.5</v>
      </c>
    </row>
    <row r="8" spans="3:13" x14ac:dyDescent="0.3">
      <c r="C8" s="16">
        <v>2</v>
      </c>
      <c r="D8" s="6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5">
        <v>0</v>
      </c>
      <c r="K8" s="15">
        <v>100</v>
      </c>
      <c r="L8" s="14">
        <v>99</v>
      </c>
      <c r="M8" s="5">
        <v>95.5</v>
      </c>
    </row>
    <row r="9" spans="3:13" x14ac:dyDescent="0.3">
      <c r="C9" s="16">
        <v>3</v>
      </c>
      <c r="D9" s="6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5">
        <v>0</v>
      </c>
      <c r="K9" s="15">
        <v>100</v>
      </c>
      <c r="L9" s="14">
        <v>99</v>
      </c>
      <c r="M9" s="5">
        <v>95.5</v>
      </c>
    </row>
    <row r="10" spans="3:13" x14ac:dyDescent="0.3">
      <c r="C10" s="16">
        <v>4</v>
      </c>
      <c r="D10" s="6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5">
        <v>0</v>
      </c>
      <c r="K10" s="15">
        <v>100</v>
      </c>
      <c r="L10" s="14">
        <v>99</v>
      </c>
      <c r="M10" s="5">
        <v>95.5</v>
      </c>
    </row>
    <row r="11" spans="3:13" x14ac:dyDescent="0.3">
      <c r="C11" s="16">
        <v>5</v>
      </c>
      <c r="D11" s="6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5">
        <v>0</v>
      </c>
      <c r="K11" s="15">
        <v>100</v>
      </c>
      <c r="L11" s="14">
        <v>99</v>
      </c>
      <c r="M11" s="5">
        <v>95.5</v>
      </c>
    </row>
    <row r="12" spans="3:13" x14ac:dyDescent="0.3">
      <c r="C12" s="16">
        <v>6</v>
      </c>
      <c r="D12" s="6">
        <v>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5">
        <v>0</v>
      </c>
      <c r="K12" s="15">
        <v>100</v>
      </c>
      <c r="L12" s="14">
        <v>99</v>
      </c>
      <c r="M12" s="5">
        <v>95.5</v>
      </c>
    </row>
    <row r="13" spans="3:13" x14ac:dyDescent="0.3">
      <c r="C13" s="16">
        <v>7</v>
      </c>
      <c r="D13" s="6">
        <v>1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5">
        <v>0</v>
      </c>
      <c r="K13" s="15">
        <v>100</v>
      </c>
      <c r="L13" s="14">
        <v>99</v>
      </c>
      <c r="M13" s="5">
        <v>95.5</v>
      </c>
    </row>
    <row r="14" spans="3:13" x14ac:dyDescent="0.3">
      <c r="C14" s="16">
        <v>8</v>
      </c>
      <c r="D14" s="6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5">
        <v>0</v>
      </c>
      <c r="K14" s="15">
        <v>100</v>
      </c>
      <c r="L14" s="14">
        <v>99</v>
      </c>
      <c r="M14" s="5">
        <v>95.5</v>
      </c>
    </row>
    <row r="15" spans="3:13" x14ac:dyDescent="0.3">
      <c r="C15" s="16">
        <v>9</v>
      </c>
      <c r="D15" s="6">
        <v>1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5">
        <v>0</v>
      </c>
      <c r="K15" s="15">
        <v>100</v>
      </c>
      <c r="L15" s="14">
        <v>99</v>
      </c>
      <c r="M15" s="5">
        <v>95.5</v>
      </c>
    </row>
    <row r="16" spans="3:13" x14ac:dyDescent="0.3">
      <c r="C16" s="16">
        <v>10</v>
      </c>
      <c r="D16" s="6">
        <v>1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5">
        <v>0</v>
      </c>
      <c r="K16" s="15">
        <v>100</v>
      </c>
      <c r="L16" s="14">
        <v>99</v>
      </c>
      <c r="M16" s="5">
        <v>95.5</v>
      </c>
    </row>
    <row r="17" spans="3:14" x14ac:dyDescent="0.3">
      <c r="C17" s="16">
        <v>11</v>
      </c>
      <c r="D17" s="6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5">
        <v>0</v>
      </c>
      <c r="K17" s="15">
        <v>100</v>
      </c>
      <c r="L17" s="14">
        <v>99</v>
      </c>
      <c r="M17" s="5">
        <v>95.5</v>
      </c>
    </row>
    <row r="18" spans="3:14" x14ac:dyDescent="0.3">
      <c r="C18" s="16">
        <v>12</v>
      </c>
      <c r="D18" s="6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5">
        <v>0</v>
      </c>
      <c r="K18" s="15">
        <v>100</v>
      </c>
      <c r="L18" s="14">
        <v>99</v>
      </c>
      <c r="M18" s="5">
        <v>95.5</v>
      </c>
    </row>
    <row r="19" spans="3:14" x14ac:dyDescent="0.3">
      <c r="C19" s="16">
        <v>13</v>
      </c>
      <c r="D19" s="6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5">
        <v>0</v>
      </c>
      <c r="K19" s="15">
        <v>100</v>
      </c>
      <c r="L19" s="14">
        <v>99</v>
      </c>
      <c r="M19" s="5">
        <v>95.5</v>
      </c>
    </row>
    <row r="20" spans="3:14" x14ac:dyDescent="0.3">
      <c r="C20" s="16">
        <v>14</v>
      </c>
      <c r="D20" s="6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5">
        <v>0</v>
      </c>
      <c r="K20" s="15">
        <v>100</v>
      </c>
      <c r="L20" s="14">
        <v>99</v>
      </c>
      <c r="M20" s="5">
        <v>95.5</v>
      </c>
    </row>
    <row r="21" spans="3:14" x14ac:dyDescent="0.3">
      <c r="C21" s="16">
        <v>15</v>
      </c>
      <c r="D21" s="6">
        <v>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5">
        <v>0</v>
      </c>
      <c r="K21" s="15">
        <v>100</v>
      </c>
      <c r="L21" s="14">
        <v>99</v>
      </c>
      <c r="M21" s="5">
        <v>95.5</v>
      </c>
    </row>
    <row r="22" spans="3:14" x14ac:dyDescent="0.3">
      <c r="C22" s="16">
        <v>16</v>
      </c>
      <c r="D22" s="6">
        <v>1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5">
        <v>0</v>
      </c>
      <c r="K22" s="15">
        <v>100</v>
      </c>
      <c r="L22" s="14">
        <v>99</v>
      </c>
      <c r="M22" s="5">
        <v>95.5</v>
      </c>
    </row>
    <row r="23" spans="3:14" x14ac:dyDescent="0.3">
      <c r="C23" s="16">
        <v>17</v>
      </c>
      <c r="D23" s="6">
        <v>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5">
        <v>0</v>
      </c>
      <c r="K23" s="15">
        <v>100</v>
      </c>
      <c r="L23" s="14">
        <v>99</v>
      </c>
      <c r="M23" s="5">
        <v>95.5</v>
      </c>
    </row>
    <row r="24" spans="3:14" x14ac:dyDescent="0.3">
      <c r="C24" s="16">
        <v>18</v>
      </c>
      <c r="D24" s="6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5">
        <v>0</v>
      </c>
      <c r="K24" s="15">
        <v>100</v>
      </c>
      <c r="L24" s="14">
        <v>99</v>
      </c>
      <c r="M24" s="5">
        <v>95.5</v>
      </c>
    </row>
    <row r="25" spans="3:14" x14ac:dyDescent="0.3">
      <c r="C25" s="16">
        <v>19</v>
      </c>
      <c r="D25" s="6">
        <v>1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5">
        <v>0</v>
      </c>
      <c r="K25" s="15">
        <v>100</v>
      </c>
      <c r="L25" s="14">
        <v>99</v>
      </c>
      <c r="M25" s="5">
        <v>95.5</v>
      </c>
    </row>
    <row r="26" spans="3:14" x14ac:dyDescent="0.3">
      <c r="C26" s="16">
        <v>20</v>
      </c>
      <c r="D26" s="6">
        <v>1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5">
        <v>0</v>
      </c>
      <c r="K26" s="15">
        <v>100</v>
      </c>
      <c r="L26" s="14">
        <v>99</v>
      </c>
      <c r="M26" s="5">
        <v>95.5</v>
      </c>
    </row>
    <row r="27" spans="3:14" x14ac:dyDescent="0.3">
      <c r="C27" s="16">
        <v>21</v>
      </c>
      <c r="D27" s="6">
        <v>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5">
        <v>0</v>
      </c>
      <c r="K27" s="15">
        <v>100</v>
      </c>
      <c r="L27" s="14">
        <v>99</v>
      </c>
      <c r="M27" s="5">
        <v>95.5</v>
      </c>
    </row>
    <row r="28" spans="3:14" x14ac:dyDescent="0.3">
      <c r="C28" s="16">
        <v>22</v>
      </c>
      <c r="D28" s="6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5">
        <v>0</v>
      </c>
      <c r="K28" s="15">
        <v>100</v>
      </c>
      <c r="L28" s="14">
        <v>99</v>
      </c>
      <c r="M28" s="5">
        <v>95.5</v>
      </c>
    </row>
    <row r="29" spans="3:14" ht="15" thickBot="1" x14ac:dyDescent="0.35">
      <c r="C29" s="16">
        <v>23</v>
      </c>
      <c r="D29" s="6">
        <v>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5">
        <v>0</v>
      </c>
      <c r="K29" s="15">
        <v>100</v>
      </c>
      <c r="L29" s="14">
        <v>99</v>
      </c>
      <c r="M29" s="5">
        <v>95.5</v>
      </c>
    </row>
    <row r="30" spans="3:14" ht="15" thickBot="1" x14ac:dyDescent="0.35">
      <c r="C30" s="35" t="s">
        <v>11</v>
      </c>
      <c r="D30" s="27">
        <f t="shared" ref="D30:J30" si="0">SUM(D6:D29)</f>
        <v>24</v>
      </c>
      <c r="E30" s="28">
        <f t="shared" si="0"/>
        <v>1</v>
      </c>
      <c r="F30" s="28">
        <f t="shared" si="0"/>
        <v>1</v>
      </c>
      <c r="G30" s="28">
        <f t="shared" si="0"/>
        <v>1</v>
      </c>
      <c r="H30" s="28">
        <f t="shared" si="0"/>
        <v>1</v>
      </c>
      <c r="I30" s="28">
        <f t="shared" si="0"/>
        <v>1</v>
      </c>
      <c r="J30" s="36">
        <f t="shared" si="0"/>
        <v>1</v>
      </c>
      <c r="K30" s="37">
        <f>MAX(K6:K29)</f>
        <v>100</v>
      </c>
      <c r="L30" s="38">
        <f>AVERAGE(L6:L29)</f>
        <v>99</v>
      </c>
      <c r="M30" s="29">
        <f>MIN(M6:M29)</f>
        <v>95.5</v>
      </c>
    </row>
    <row r="31" spans="3:14" ht="15" thickBot="1" x14ac:dyDescent="0.35">
      <c r="K31" s="82"/>
      <c r="L31" s="82"/>
      <c r="M31" s="2"/>
    </row>
    <row r="32" spans="3:14" ht="15.45" customHeight="1" thickBot="1" x14ac:dyDescent="0.35">
      <c r="C32" s="1"/>
      <c r="D32" s="116" t="s">
        <v>40</v>
      </c>
      <c r="E32" s="117"/>
      <c r="F32" s="117"/>
      <c r="G32" s="118"/>
      <c r="I32" s="116" t="s">
        <v>13</v>
      </c>
      <c r="J32" s="117"/>
      <c r="K32" s="117"/>
      <c r="L32" s="118"/>
      <c r="N32" s="2"/>
    </row>
    <row r="33" spans="3:22" ht="15.45" customHeight="1" x14ac:dyDescent="0.3">
      <c r="C33" s="1"/>
      <c r="D33" s="127" t="s">
        <v>7</v>
      </c>
      <c r="E33" s="128"/>
      <c r="F33" s="119">
        <v>1234</v>
      </c>
      <c r="G33" s="120"/>
      <c r="I33" s="53" t="s">
        <v>37</v>
      </c>
      <c r="J33" s="84">
        <v>34</v>
      </c>
      <c r="K33" s="119" t="s">
        <v>42</v>
      </c>
      <c r="L33" s="120"/>
    </row>
    <row r="34" spans="3:22" x14ac:dyDescent="0.3">
      <c r="C34" s="1"/>
      <c r="D34" s="125" t="s">
        <v>8</v>
      </c>
      <c r="E34" s="126"/>
      <c r="F34" s="112">
        <v>899</v>
      </c>
      <c r="G34" s="113"/>
      <c r="I34" s="85" t="s">
        <v>38</v>
      </c>
      <c r="J34" s="6">
        <v>5</v>
      </c>
      <c r="K34" s="112" t="s">
        <v>14</v>
      </c>
      <c r="L34" s="113"/>
    </row>
    <row r="35" spans="3:22" ht="15" thickBot="1" x14ac:dyDescent="0.35">
      <c r="C35" s="1"/>
      <c r="D35" s="123" t="s">
        <v>9</v>
      </c>
      <c r="E35" s="124"/>
      <c r="F35" s="121">
        <f>F33-F34</f>
        <v>335</v>
      </c>
      <c r="G35" s="122"/>
      <c r="I35" s="67" t="s">
        <v>39</v>
      </c>
      <c r="J35" s="7">
        <v>30.9</v>
      </c>
      <c r="K35" s="114" t="s">
        <v>43</v>
      </c>
      <c r="L35" s="115"/>
      <c r="M35" s="2"/>
      <c r="N35" s="2"/>
      <c r="O35" s="2"/>
      <c r="P35" s="83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3:M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年報</vt:lpstr>
      <vt:lpstr>月報</vt:lpstr>
      <vt:lpstr>日報</vt:lpstr>
      <vt:lpstr>日報!Print_Area</vt:lpstr>
      <vt:lpstr>月報!Print_Area</vt:lpstr>
      <vt:lpstr>年報!Print_Area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2024-01-04T02:02:52Z</dcterms:modified>
</cp:coreProperties>
</file>