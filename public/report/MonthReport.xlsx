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test\SEEMS_EMS\public\report\"/>
    </mc:Choice>
  </mc:AlternateContent>
  <xr:revisionPtr revIDLastSave="0" documentId="13_ncr:1_{B58CF1F9-82D4-47D6-98D0-EA260C54C97F}" xr6:coauthVersionLast="47" xr6:coauthVersionMax="47" xr10:uidLastSave="{00000000-0000-0000-0000-000000000000}"/>
  <bookViews>
    <workbookView xWindow="-28920" yWindow="735" windowWidth="29040" windowHeight="15720" xr2:uid="{00000000-000D-0000-FFFF-FFFF00000000}"/>
  </bookViews>
  <sheets>
    <sheet name="月報" sheetId="1" r:id="rId1"/>
  </sheets>
  <definedNames>
    <definedName name="_xlnm.Print_Area" localSheetId="0">月報!$C$3:$AC$39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7" i="1" l="1"/>
  <c r="L37" i="1"/>
  <c r="K37" i="1"/>
  <c r="O37" i="1"/>
  <c r="N37" i="1"/>
  <c r="M37" i="1"/>
  <c r="P37" i="1"/>
  <c r="Q37" i="1"/>
  <c r="E37" i="1"/>
  <c r="F37" i="1"/>
  <c r="G37" i="1"/>
  <c r="H37" i="1"/>
  <c r="I37" i="1"/>
  <c r="J37" i="1"/>
  <c r="D37" i="1"/>
  <c r="R37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tc={81E50B7B-3969-4832-B952-3EF905E0C831}</author>
    <author>tc={FCB8E4AE-9350-453E-807E-C9E28EA2FE77}</author>
  </authors>
  <commentList>
    <comment ref="C3" authorId="0" shapeId="0" xr:uid="{81E50B7B-3969-4832-B952-3EF905E0C831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  <comment ref="T3" authorId="1" shapeId="0" xr:uid="{FCB8E4AE-9350-453E-807E-C9E28EA2FE77}">
      <text>
        <t>[對話串註解]
您的 Excel 版本可讓您讀取此對話串註解; 但若以較新的 Excel 版本開啟此檔案，將會移除對它進行的所有編輯。深入了解: https://go.microsoft.com/fwlink/?linkid=870924。
註解:
    XX=縣市
YY=地區
ZZ=併網容量
e.g. 花蓮和平10MW</t>
      </text>
    </comment>
  </commentList>
</comments>
</file>

<file path=xl/sharedStrings.xml><?xml version="1.0" encoding="utf-8"?>
<sst xmlns="http://schemas.openxmlformats.org/spreadsheetml/2006/main" count="32" uniqueCount="29">
  <si>
    <t>日
(Day)</t>
    <phoneticPr fontId="1" type="noConversion"/>
  </si>
  <si>
    <t>充放電效率
(%)</t>
    <phoneticPr fontId="1" type="noConversion"/>
  </si>
  <si>
    <t>服務品質指標 (次數)</t>
    <phoneticPr fontId="1" type="noConversion"/>
  </si>
  <si>
    <t>Min.</t>
    <phoneticPr fontId="1" type="noConversion"/>
  </si>
  <si>
    <t>Avg.</t>
    <phoneticPr fontId="1" type="noConversion"/>
  </si>
  <si>
    <t>Max.</t>
    <phoneticPr fontId="1" type="noConversion"/>
  </si>
  <si>
    <t>Import</t>
    <phoneticPr fontId="1" type="noConversion"/>
  </si>
  <si>
    <t>Export</t>
    <phoneticPr fontId="1" type="noConversion"/>
  </si>
  <si>
    <t>Net</t>
    <phoneticPr fontId="1" type="noConversion"/>
  </si>
  <si>
    <t>總用電量 (MWh)</t>
    <phoneticPr fontId="1" type="noConversion"/>
  </si>
  <si>
    <t>Total</t>
    <phoneticPr fontId="1" type="noConversion"/>
  </si>
  <si>
    <t>SPM (%)</t>
    <phoneticPr fontId="1" type="noConversion"/>
  </si>
  <si>
    <t>中止服務</t>
    <phoneticPr fontId="1" type="noConversion"/>
  </si>
  <si>
    <t>MW</t>
    <phoneticPr fontId="1" type="noConversion"/>
  </si>
  <si>
    <t>Minute</t>
    <phoneticPr fontId="1" type="noConversion"/>
  </si>
  <si>
    <t>同期</t>
    <phoneticPr fontId="1" type="noConversion"/>
  </si>
  <si>
    <r>
      <rPr>
        <sz val="11"/>
        <color rgb="FFFF0000"/>
        <rFont val="微軟正黑體"/>
        <family val="2"/>
        <charset val="136"/>
      </rPr>
      <t>XXYYZZ</t>
    </r>
    <r>
      <rPr>
        <sz val="11"/>
        <color theme="1"/>
        <rFont val="微軟正黑體"/>
        <family val="2"/>
        <charset val="136"/>
      </rPr>
      <t xml:space="preserve">MW </t>
    </r>
    <r>
      <rPr>
        <sz val="11"/>
        <color rgb="FFFF0000"/>
        <rFont val="微軟正黑體"/>
        <family val="2"/>
        <charset val="136"/>
      </rPr>
      <t>E-dReg</t>
    </r>
    <r>
      <rPr>
        <sz val="11"/>
        <color theme="1"/>
        <rFont val="微軟正黑體"/>
        <family val="2"/>
        <charset val="136"/>
      </rPr>
      <t xml:space="preserve"> </t>
    </r>
    <r>
      <rPr>
        <sz val="11"/>
        <color rgb="FFFF0000"/>
        <rFont val="微軟正黑體"/>
        <family val="2"/>
        <charset val="136"/>
      </rPr>
      <t>AA</t>
    </r>
    <r>
      <rPr>
        <sz val="11"/>
        <rFont val="微軟正黑體"/>
        <family val="2"/>
        <charset val="136"/>
      </rPr>
      <t>年</t>
    </r>
    <r>
      <rPr>
        <sz val="11"/>
        <color rgb="FFFF0000"/>
        <rFont val="微軟正黑體"/>
        <family val="2"/>
        <charset val="136"/>
      </rPr>
      <t>BB</t>
    </r>
    <r>
      <rPr>
        <sz val="11"/>
        <color theme="1"/>
        <rFont val="微軟正黑體"/>
        <family val="2"/>
        <charset val="136"/>
      </rPr>
      <t>月 月報</t>
    </r>
    <phoneticPr fontId="1" type="noConversion"/>
  </si>
  <si>
    <t>本期</t>
    <phoneticPr fontId="1" type="noConversion"/>
  </si>
  <si>
    <t>上期</t>
    <phoneticPr fontId="1" type="noConversion"/>
  </si>
  <si>
    <t>總輔助用電
(AUX-AC)</t>
    <phoneticPr fontId="1" type="noConversion"/>
  </si>
  <si>
    <t>控制室
(AUX-EMS)</t>
    <phoneticPr fontId="1" type="noConversion"/>
  </si>
  <si>
    <t>ESS1-1</t>
    <phoneticPr fontId="1" type="noConversion"/>
  </si>
  <si>
    <t>ESS1-2</t>
  </si>
  <si>
    <t>ESS2-1</t>
    <phoneticPr fontId="1" type="noConversion"/>
  </si>
  <si>
    <t>ESS2-2</t>
    <phoneticPr fontId="1" type="noConversion"/>
  </si>
  <si>
    <t>ESS3-1</t>
    <phoneticPr fontId="1" type="noConversion"/>
  </si>
  <si>
    <t>ESS3-2</t>
    <phoneticPr fontId="1" type="noConversion"/>
  </si>
  <si>
    <t>ESS4-1</t>
    <phoneticPr fontId="1" type="noConversion"/>
  </si>
  <si>
    <t>輔助用電分析
(kWh)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</si>
</sst>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0.0"/>
  </numFmts>
  <fonts count="6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sz val="11"/>
      <color rgb="FFFF0000"/>
      <name val="微軟正黑體"/>
      <family val="2"/>
      <charset val="136"/>
    </font>
    <font>
      <sz val="11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8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177" fontId="3" fillId="0" borderId="1" xfId="0" applyNumberFormat="1" applyFont="1" applyBorder="1" applyAlignment="1">
      <alignment horizontal="center" vertical="center"/>
    </xf>
    <xf numFmtId="177" fontId="3" fillId="0" borderId="5" xfId="0" applyNumberFormat="1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177" fontId="3" fillId="0" borderId="13" xfId="0" applyNumberFormat="1" applyFont="1" applyBorder="1" applyAlignment="1">
      <alignment horizontal="center"/>
    </xf>
    <xf numFmtId="177" fontId="3" fillId="0" borderId="14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77" fontId="3" fillId="0" borderId="2" xfId="0" applyNumberFormat="1" applyFont="1" applyBorder="1" applyAlignment="1">
      <alignment horizontal="center"/>
    </xf>
    <xf numFmtId="177" fontId="3" fillId="0" borderId="3" xfId="0" applyNumberFormat="1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177" fontId="3" fillId="0" borderId="10" xfId="0" applyNumberFormat="1" applyFont="1" applyBorder="1" applyAlignment="1">
      <alignment horizontal="center"/>
    </xf>
    <xf numFmtId="177" fontId="3" fillId="0" borderId="11" xfId="0" applyNumberFormat="1" applyFont="1" applyBorder="1" applyAlignment="1">
      <alignment horizontal="center" vertical="center"/>
    </xf>
    <xf numFmtId="177" fontId="3" fillId="0" borderId="11" xfId="0" applyNumberFormat="1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1" fontId="3" fillId="0" borderId="13" xfId="0" applyNumberFormat="1" applyFont="1" applyBorder="1" applyAlignment="1">
      <alignment horizontal="center"/>
    </xf>
    <xf numFmtId="1" fontId="3" fillId="0" borderId="5" xfId="0" applyNumberFormat="1" applyFont="1" applyBorder="1" applyAlignment="1">
      <alignment horizontal="center"/>
    </xf>
    <xf numFmtId="1" fontId="3" fillId="0" borderId="10" xfId="0" applyNumberFormat="1" applyFont="1" applyBorder="1" applyAlignment="1">
      <alignment horizontal="center"/>
    </xf>
    <xf numFmtId="1" fontId="3" fillId="0" borderId="14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" fontId="3" fillId="0" borderId="11" xfId="0" applyNumberFormat="1" applyFont="1" applyBorder="1" applyAlignment="1">
      <alignment horizontal="center" vertical="center"/>
    </xf>
    <xf numFmtId="176" fontId="3" fillId="0" borderId="29" xfId="0" applyNumberFormat="1" applyFont="1" applyBorder="1" applyAlignment="1">
      <alignment horizontal="center"/>
    </xf>
    <xf numFmtId="176" fontId="3" fillId="0" borderId="31" xfId="0" applyNumberFormat="1" applyFont="1" applyBorder="1" applyAlignment="1">
      <alignment horizontal="center"/>
    </xf>
    <xf numFmtId="176" fontId="3" fillId="0" borderId="32" xfId="0" applyNumberFormat="1" applyFont="1" applyBorder="1" applyAlignment="1">
      <alignment horizontal="center"/>
    </xf>
    <xf numFmtId="177" fontId="3" fillId="0" borderId="33" xfId="1" applyNumberFormat="1" applyFont="1" applyBorder="1" applyAlignment="1">
      <alignment horizontal="center"/>
    </xf>
    <xf numFmtId="177" fontId="3" fillId="0" borderId="34" xfId="1" applyNumberFormat="1" applyFont="1" applyBorder="1" applyAlignment="1">
      <alignment horizontal="center"/>
    </xf>
    <xf numFmtId="177" fontId="3" fillId="0" borderId="36" xfId="1" applyNumberFormat="1" applyFont="1" applyBorder="1" applyAlignment="1">
      <alignment horizontal="center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1" fontId="3" fillId="0" borderId="38" xfId="0" applyNumberFormat="1" applyFont="1" applyBorder="1" applyAlignment="1">
      <alignment horizontal="center"/>
    </xf>
    <xf numFmtId="177" fontId="3" fillId="0" borderId="39" xfId="0" applyNumberFormat="1" applyFont="1" applyBorder="1" applyAlignment="1">
      <alignment horizontal="center"/>
    </xf>
    <xf numFmtId="177" fontId="3" fillId="0" borderId="38" xfId="0" applyNumberFormat="1" applyFont="1" applyBorder="1" applyAlignment="1">
      <alignment horizontal="center"/>
    </xf>
    <xf numFmtId="177" fontId="3" fillId="0" borderId="42" xfId="1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1" fontId="3" fillId="0" borderId="39" xfId="0" applyNumberFormat="1" applyFont="1" applyBorder="1" applyAlignment="1">
      <alignment horizontal="center"/>
    </xf>
    <xf numFmtId="0" fontId="3" fillId="0" borderId="1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21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0" borderId="38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3" fillId="0" borderId="4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服務品質指標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plotArea>
      <c:layout/>
      <c:ofPieChart>
        <c:ofPieType val="pie"/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8B1-4AAA-BFBB-F64C9B27CB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8B1-4AAA-BFBB-F64C9B27CB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8B1-4AAA-BFBB-F64C9B27CB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8B1-4AAA-BFBB-F64C9B27CB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8B1-4AAA-BFBB-F64C9B27CB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8B1-4AAA-BFBB-F64C9B27CB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8B1-4AAA-BFBB-F64C9B27CB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B53F-4EAD-B8FC-1524B3AA546F}"/>
              </c:ext>
            </c:extLst>
          </c:dPt>
          <c:cat>
            <c:numRef>
              <c:f>月報!$D$5:$J$5</c:f>
              <c:numCache>
                <c:formatCode>General</c:formatCode>
                <c:ptCount val="7"/>
                <c:pt idx="0">
                  <c:v>1</c:v>
                </c:pt>
                <c:pt idx="1">
                  <c:v>0.8</c:v>
                </c:pt>
                <c:pt idx="2">
                  <c:v>0.6</c:v>
                </c:pt>
                <c:pt idx="3">
                  <c:v>0.4</c:v>
                </c:pt>
                <c:pt idx="4">
                  <c:v>0.2</c:v>
                </c:pt>
                <c:pt idx="5">
                  <c:v>0</c:v>
                </c:pt>
                <c:pt idx="6">
                  <c:v>-1</c:v>
                </c:pt>
              </c:numCache>
            </c:numRef>
          </c:cat>
          <c:val>
            <c:numRef>
              <c:f>月報!$D$37:$J$37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CB-4D3E-97DA-6570737712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gapWidth val="100"/>
        <c:splitType val="pos"/>
        <c:splitPos val="6"/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微軟正黑體" panose="020B0604030504040204" pitchFamily="34" charset="-120"/>
                <a:ea typeface="微軟正黑體" panose="020B0604030504040204" pitchFamily="34" charset="-120"/>
                <a:cs typeface="+mn-cs"/>
              </a:defRPr>
            </a:pPr>
            <a:r>
              <a:rPr lang="zh-TW" altLang="en-US">
                <a:latin typeface="微軟正黑體" panose="020B0604030504040204" pitchFamily="34" charset="-120"/>
                <a:ea typeface="微軟正黑體" panose="020B0604030504040204" pitchFamily="34" charset="-120"/>
              </a:rPr>
              <a:t>充放電效率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微軟正黑體" panose="020B0604030504040204" pitchFamily="34" charset="-120"/>
              <a:ea typeface="微軟正黑體" panose="020B0604030504040204" pitchFamily="34" charset="-120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554876019382607"/>
          <c:y val="0.1890969412765944"/>
          <c:w val="0.86161569675283034"/>
          <c:h val="0.69609747201541239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月報!$S$6:$S$36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2495-440E-816A-9A65652169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7479408"/>
        <c:axId val="1089044047"/>
        <c:axId val="0"/>
      </c:bar3DChart>
      <c:catAx>
        <c:axId val="69747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89044047"/>
        <c:crosses val="autoZero"/>
        <c:auto val="1"/>
        <c:lblAlgn val="ctr"/>
        <c:lblOffset val="100"/>
        <c:noMultiLvlLbl val="0"/>
      </c:catAx>
      <c:valAx>
        <c:axId val="1089044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97479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SPM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6.8301301191580205E-2"/>
          <c:y val="2.8981575271493233E-2"/>
          <c:w val="0.91319856366719931"/>
          <c:h val="0.88734751482820862"/>
        </c:manualLayout>
      </c:layout>
      <c:bar3DChart>
        <c:barDir val="col"/>
        <c:grouping val="standard"/>
        <c:varyColors val="0"/>
        <c:ser>
          <c:idx val="2"/>
          <c:order val="0"/>
          <c:tx>
            <c:strRef>
              <c:f>月報!$O$4:$O$5</c:f>
              <c:strCache>
                <c:ptCount val="2"/>
                <c:pt idx="0">
                  <c:v>SPM (%)</c:v>
                </c:pt>
                <c:pt idx="1">
                  <c:v>Min.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val>
            <c:numRef>
              <c:f>月報!$O$6:$O$36</c:f>
              <c:numCache>
                <c:formatCode>General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2-0359-4B47-B3C0-EFD6BCFBAF00}"/>
            </c:ext>
          </c:extLst>
        </c:ser>
        <c:ser>
          <c:idx val="1"/>
          <c:order val="1"/>
          <c:tx>
            <c:strRef>
              <c:f>月報!$N$4:$N$5</c:f>
              <c:strCache>
                <c:ptCount val="2"/>
                <c:pt idx="0">
                  <c:v>SPM (%)</c:v>
                </c:pt>
                <c:pt idx="1">
                  <c:v>Avg.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val>
            <c:numRef>
              <c:f>月報!$N$6:$N$36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1-0359-4B47-B3C0-EFD6BCFBAF00}"/>
            </c:ext>
          </c:extLst>
        </c:ser>
        <c:ser>
          <c:idx val="0"/>
          <c:order val="2"/>
          <c:tx>
            <c:strRef>
              <c:f>月報!$M$4:$M$5</c:f>
              <c:strCache>
                <c:ptCount val="2"/>
                <c:pt idx="0">
                  <c:v>SPM (%)</c:v>
                </c:pt>
                <c:pt idx="1">
                  <c:v>Max.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val>
            <c:numRef>
              <c:f>月報!$M$6:$M$36</c:f>
              <c:numCache>
                <c:formatCode>0.0</c:formatCode>
                <c:ptCount val="31"/>
              </c:numCache>
            </c:numRef>
          </c:val>
          <c:extLst>
            <c:ext xmlns:c16="http://schemas.microsoft.com/office/drawing/2014/chart" uri="{C3380CC4-5D6E-409C-BE32-E72D297353CC}">
              <c16:uniqueId val="{00000000-0359-4B47-B3C0-EFD6BCFBAF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59928976"/>
        <c:axId val="1076601135"/>
        <c:axId val="959934976"/>
      </c:bar3DChart>
      <c:catAx>
        <c:axId val="95992897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076601135"/>
        <c:crosses val="autoZero"/>
        <c:auto val="1"/>
        <c:lblAlgn val="ctr"/>
        <c:lblOffset val="100"/>
        <c:noMultiLvlLbl val="0"/>
      </c:catAx>
      <c:valAx>
        <c:axId val="107660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959928976"/>
        <c:crosses val="autoZero"/>
        <c:crossBetween val="between"/>
      </c:valAx>
      <c:serAx>
        <c:axId val="959934976"/>
        <c:scaling>
          <c:orientation val="minMax"/>
        </c:scaling>
        <c:delete val="1"/>
        <c:axPos val="b"/>
        <c:majorTickMark val="none"/>
        <c:minorTickMark val="none"/>
        <c:tickLblPos val="nextTo"/>
        <c:crossAx val="1076601135"/>
        <c:crosses val="autoZero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27495</xdr:colOff>
      <xdr:row>8</xdr:row>
      <xdr:rowOff>171191</xdr:rowOff>
    </xdr:from>
    <xdr:to>
      <xdr:col>23</xdr:col>
      <xdr:colOff>745791</xdr:colOff>
      <xdr:row>23</xdr:row>
      <xdr:rowOff>23171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F72ED16-3DF4-8DFE-25D4-155CDDC59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19602</xdr:colOff>
      <xdr:row>8</xdr:row>
      <xdr:rowOff>165783</xdr:rowOff>
    </xdr:from>
    <xdr:to>
      <xdr:col>28</xdr:col>
      <xdr:colOff>817142</xdr:colOff>
      <xdr:row>23</xdr:row>
      <xdr:rowOff>10187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BE5E11AC-7173-E330-BE9F-FC23544C3D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20995</xdr:colOff>
      <xdr:row>24</xdr:row>
      <xdr:rowOff>15903</xdr:rowOff>
    </xdr:from>
    <xdr:to>
      <xdr:col>23</xdr:col>
      <xdr:colOff>751058</xdr:colOff>
      <xdr:row>38</xdr:row>
      <xdr:rowOff>157370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5BA2FD57-B091-4BED-754A-FBAE683928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星佑_整合EMS處 羅胤恆" id="{B8A74333-F443-456F-BDB7-E92946D76E41}" userId="S::steven.lo@hdrenewables.com::5cc4d8c8-8edb-4dcf-9121-6fa7b0de8500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" dT="2023-11-27T08:34:48.63" personId="{B8A74333-F443-456F-BDB7-E92946D76E41}" id="{81E50B7B-3969-4832-B952-3EF905E0C831}">
    <text>XX=縣市
YY=地區
ZZ=併網容量
e.g. 花蓮和平10MW</text>
  </threadedComment>
  <threadedComment ref="T3" dT="2023-11-27T08:34:48.63" personId="{B8A74333-F443-456F-BDB7-E92946D76E41}" id="{FCB8E4AE-9350-453E-807E-C9E28EA2FE77}">
    <text>XX=縣市
YY=地區
ZZ=併網容量
e.g. 花蓮和平10MW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AC39"/>
  <sheetViews>
    <sheetView tabSelected="1" topLeftCell="C1" zoomScaleNormal="100" zoomScaleSheetLayoutView="85" workbookViewId="0">
      <selection activeCell="AA35" sqref="AA35"/>
    </sheetView>
  </sheetViews>
  <sheetFormatPr defaultColWidth="8.75" defaultRowHeight="14.4" x14ac:dyDescent="0.3"/>
  <cols>
    <col min="1" max="2" width="8.75" style="1"/>
    <col min="3" max="3" width="8.75" style="2" customWidth="1"/>
    <col min="4" max="10" width="7.625" style="2" customWidth="1"/>
    <col min="11" max="12" width="10.125" style="1" customWidth="1"/>
    <col min="13" max="13" width="7.875" style="1" bestFit="1" customWidth="1"/>
    <col min="14" max="14" width="7.375" style="1" customWidth="1"/>
    <col min="15" max="15" width="7.5" style="1" bestFit="1" customWidth="1"/>
    <col min="16" max="18" width="9" style="1" customWidth="1"/>
    <col min="19" max="19" width="12.625" style="2" bestFit="1" customWidth="1"/>
    <col min="20" max="20" width="17.75" style="1" bestFit="1" customWidth="1"/>
    <col min="21" max="29" width="14" style="1" customWidth="1"/>
    <col min="30" max="16384" width="8.75" style="1"/>
  </cols>
  <sheetData>
    <row r="2" spans="3:29" ht="15" thickBot="1" x14ac:dyDescent="0.35"/>
    <row r="3" spans="3:29" ht="15" thickBot="1" x14ac:dyDescent="0.35">
      <c r="C3" s="61" t="s">
        <v>16</v>
      </c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3"/>
      <c r="T3" s="73" t="s">
        <v>16</v>
      </c>
      <c r="U3" s="74"/>
      <c r="V3" s="74"/>
      <c r="W3" s="74"/>
      <c r="X3" s="74"/>
      <c r="Y3" s="74"/>
      <c r="Z3" s="74"/>
      <c r="AA3" s="74"/>
      <c r="AB3" s="74"/>
      <c r="AC3" s="75"/>
    </row>
    <row r="4" spans="3:29" s="2" customFormat="1" ht="14.55" customHeight="1" x14ac:dyDescent="0.3">
      <c r="C4" s="67" t="s">
        <v>0</v>
      </c>
      <c r="D4" s="64" t="s">
        <v>2</v>
      </c>
      <c r="E4" s="65"/>
      <c r="F4" s="65"/>
      <c r="G4" s="65"/>
      <c r="H4" s="65"/>
      <c r="I4" s="65"/>
      <c r="J4" s="66"/>
      <c r="K4" s="67" t="s">
        <v>12</v>
      </c>
      <c r="L4" s="71"/>
      <c r="M4" s="67" t="s">
        <v>11</v>
      </c>
      <c r="N4" s="71"/>
      <c r="O4" s="72"/>
      <c r="P4" s="67" t="s">
        <v>9</v>
      </c>
      <c r="Q4" s="71"/>
      <c r="R4" s="71"/>
      <c r="S4" s="69" t="s">
        <v>1</v>
      </c>
      <c r="T4" s="76" t="s">
        <v>28</v>
      </c>
      <c r="U4" s="78" t="s">
        <v>19</v>
      </c>
      <c r="V4" s="80" t="s">
        <v>20</v>
      </c>
      <c r="W4" s="80" t="s">
        <v>21</v>
      </c>
      <c r="X4" s="82" t="s">
        <v>22</v>
      </c>
      <c r="Y4" s="80" t="s">
        <v>23</v>
      </c>
      <c r="Z4" s="82" t="s">
        <v>24</v>
      </c>
      <c r="AA4" s="80" t="s">
        <v>25</v>
      </c>
      <c r="AB4" s="82" t="s">
        <v>26</v>
      </c>
      <c r="AC4" s="83" t="s">
        <v>27</v>
      </c>
    </row>
    <row r="5" spans="3:29" ht="15" thickBot="1" x14ac:dyDescent="0.35">
      <c r="C5" s="68"/>
      <c r="D5" s="7">
        <v>1</v>
      </c>
      <c r="E5" s="8">
        <v>0.8</v>
      </c>
      <c r="F5" s="8">
        <v>0.6</v>
      </c>
      <c r="G5" s="8">
        <v>0.4</v>
      </c>
      <c r="H5" s="8">
        <v>0.2</v>
      </c>
      <c r="I5" s="8">
        <v>0</v>
      </c>
      <c r="J5" s="9">
        <v>-1</v>
      </c>
      <c r="K5" s="22" t="s">
        <v>14</v>
      </c>
      <c r="L5" s="23" t="s">
        <v>13</v>
      </c>
      <c r="M5" s="22" t="s">
        <v>5</v>
      </c>
      <c r="N5" s="23" t="s">
        <v>4</v>
      </c>
      <c r="O5" s="24" t="s">
        <v>3</v>
      </c>
      <c r="P5" s="22" t="s">
        <v>6</v>
      </c>
      <c r="Q5" s="23" t="s">
        <v>7</v>
      </c>
      <c r="R5" s="47" t="s">
        <v>8</v>
      </c>
      <c r="S5" s="70"/>
      <c r="T5" s="77"/>
      <c r="U5" s="79"/>
      <c r="V5" s="81"/>
      <c r="W5" s="81"/>
      <c r="X5" s="81"/>
      <c r="Y5" s="81"/>
      <c r="Z5" s="81"/>
      <c r="AA5" s="81"/>
      <c r="AB5" s="81"/>
      <c r="AC5" s="84"/>
    </row>
    <row r="6" spans="3:29" x14ac:dyDescent="0.3">
      <c r="C6" s="17">
        <v>1</v>
      </c>
      <c r="D6" s="18"/>
      <c r="E6" s="19"/>
      <c r="F6" s="19"/>
      <c r="G6" s="19"/>
      <c r="H6" s="19"/>
      <c r="I6" s="19"/>
      <c r="J6" s="13"/>
      <c r="K6" s="35"/>
      <c r="L6" s="38"/>
      <c r="M6" s="20"/>
      <c r="N6" s="21"/>
      <c r="O6" s="13"/>
      <c r="P6" s="25"/>
      <c r="Q6" s="26"/>
      <c r="R6" s="41"/>
      <c r="S6" s="44"/>
      <c r="T6" s="60" t="s">
        <v>17</v>
      </c>
      <c r="U6" s="3"/>
      <c r="V6" s="3"/>
      <c r="W6" s="3"/>
      <c r="X6" s="3"/>
      <c r="Y6" s="3"/>
      <c r="Z6" s="3"/>
      <c r="AA6" s="3"/>
      <c r="AB6" s="3"/>
      <c r="AC6" s="5"/>
    </row>
    <row r="7" spans="3:29" x14ac:dyDescent="0.3">
      <c r="C7" s="16">
        <v>2</v>
      </c>
      <c r="D7" s="6"/>
      <c r="E7" s="3"/>
      <c r="F7" s="3"/>
      <c r="G7" s="3"/>
      <c r="H7" s="3"/>
      <c r="I7" s="3"/>
      <c r="J7" s="5"/>
      <c r="K7" s="36"/>
      <c r="L7" s="39"/>
      <c r="M7" s="15"/>
      <c r="N7" s="14"/>
      <c r="O7" s="5"/>
      <c r="P7" s="15"/>
      <c r="Q7" s="4"/>
      <c r="R7" s="42"/>
      <c r="S7" s="45"/>
      <c r="T7" s="6" t="s">
        <v>18</v>
      </c>
      <c r="U7" s="3"/>
      <c r="V7" s="3"/>
      <c r="W7" s="3"/>
      <c r="X7" s="3"/>
      <c r="Y7" s="3"/>
      <c r="Z7" s="3"/>
      <c r="AA7" s="3"/>
      <c r="AB7" s="3"/>
      <c r="AC7" s="5"/>
    </row>
    <row r="8" spans="3:29" ht="15" thickBot="1" x14ac:dyDescent="0.35">
      <c r="C8" s="16">
        <v>3</v>
      </c>
      <c r="D8" s="6"/>
      <c r="E8" s="3"/>
      <c r="F8" s="3"/>
      <c r="G8" s="3"/>
      <c r="H8" s="3"/>
      <c r="I8" s="3"/>
      <c r="J8" s="5"/>
      <c r="K8" s="36"/>
      <c r="L8" s="39"/>
      <c r="M8" s="15"/>
      <c r="N8" s="14"/>
      <c r="O8" s="5"/>
      <c r="P8" s="15"/>
      <c r="Q8" s="4"/>
      <c r="R8" s="42"/>
      <c r="S8" s="45"/>
      <c r="T8" s="7" t="s">
        <v>15</v>
      </c>
      <c r="U8" s="8"/>
      <c r="V8" s="8"/>
      <c r="W8" s="8"/>
      <c r="X8" s="8"/>
      <c r="Y8" s="8"/>
      <c r="Z8" s="8"/>
      <c r="AA8" s="8"/>
      <c r="AB8" s="8"/>
      <c r="AC8" s="9"/>
    </row>
    <row r="9" spans="3:29" x14ac:dyDescent="0.3">
      <c r="C9" s="16">
        <v>4</v>
      </c>
      <c r="D9" s="6"/>
      <c r="E9" s="3"/>
      <c r="F9" s="3"/>
      <c r="G9" s="3"/>
      <c r="H9" s="3"/>
      <c r="I9" s="3"/>
      <c r="J9" s="5"/>
      <c r="K9" s="36"/>
      <c r="L9" s="39"/>
      <c r="M9" s="15"/>
      <c r="N9" s="14"/>
      <c r="O9" s="5"/>
      <c r="P9" s="15"/>
      <c r="Q9" s="4"/>
      <c r="R9" s="42"/>
      <c r="S9" s="45"/>
    </row>
    <row r="10" spans="3:29" x14ac:dyDescent="0.3">
      <c r="C10" s="16">
        <v>5</v>
      </c>
      <c r="D10" s="6"/>
      <c r="E10" s="3"/>
      <c r="F10" s="3"/>
      <c r="G10" s="3"/>
      <c r="H10" s="3"/>
      <c r="I10" s="3"/>
      <c r="J10" s="5"/>
      <c r="K10" s="36"/>
      <c r="L10" s="39"/>
      <c r="M10" s="15"/>
      <c r="N10" s="14"/>
      <c r="O10" s="5"/>
      <c r="P10" s="15"/>
      <c r="Q10" s="4"/>
      <c r="R10" s="42"/>
      <c r="S10" s="45"/>
    </row>
    <row r="11" spans="3:29" x14ac:dyDescent="0.3">
      <c r="C11" s="16">
        <v>6</v>
      </c>
      <c r="D11" s="6"/>
      <c r="E11" s="3"/>
      <c r="F11" s="3"/>
      <c r="G11" s="3"/>
      <c r="H11" s="3"/>
      <c r="I11" s="3"/>
      <c r="J11" s="5"/>
      <c r="K11" s="36"/>
      <c r="L11" s="39"/>
      <c r="M11" s="15"/>
      <c r="N11" s="14"/>
      <c r="O11" s="5"/>
      <c r="P11" s="15"/>
      <c r="Q11" s="4"/>
      <c r="R11" s="42"/>
      <c r="S11" s="45"/>
    </row>
    <row r="12" spans="3:29" x14ac:dyDescent="0.3">
      <c r="C12" s="16">
        <v>7</v>
      </c>
      <c r="D12" s="6"/>
      <c r="E12" s="3"/>
      <c r="F12" s="3"/>
      <c r="G12" s="3"/>
      <c r="H12" s="3"/>
      <c r="I12" s="3"/>
      <c r="J12" s="5"/>
      <c r="K12" s="36"/>
      <c r="L12" s="39"/>
      <c r="M12" s="15"/>
      <c r="N12" s="14"/>
      <c r="O12" s="5"/>
      <c r="P12" s="15"/>
      <c r="Q12" s="4"/>
      <c r="R12" s="42"/>
      <c r="S12" s="45"/>
    </row>
    <row r="13" spans="3:29" x14ac:dyDescent="0.3">
      <c r="C13" s="16">
        <v>8</v>
      </c>
      <c r="D13" s="6"/>
      <c r="E13" s="3"/>
      <c r="F13" s="3"/>
      <c r="G13" s="3"/>
      <c r="H13" s="3"/>
      <c r="I13" s="3"/>
      <c r="J13" s="5"/>
      <c r="K13" s="36"/>
      <c r="L13" s="39"/>
      <c r="M13" s="15"/>
      <c r="N13" s="14"/>
      <c r="O13" s="5"/>
      <c r="P13" s="15"/>
      <c r="Q13" s="4"/>
      <c r="R13" s="42"/>
      <c r="S13" s="45"/>
    </row>
    <row r="14" spans="3:29" x14ac:dyDescent="0.3">
      <c r="C14" s="16">
        <v>9</v>
      </c>
      <c r="D14" s="6"/>
      <c r="E14" s="3"/>
      <c r="F14" s="3"/>
      <c r="G14" s="3"/>
      <c r="H14" s="3"/>
      <c r="I14" s="3"/>
      <c r="J14" s="5"/>
      <c r="K14" s="36"/>
      <c r="L14" s="39"/>
      <c r="M14" s="15"/>
      <c r="N14" s="14"/>
      <c r="O14" s="5"/>
      <c r="P14" s="15"/>
      <c r="Q14" s="4"/>
      <c r="R14" s="42"/>
      <c r="S14" s="45"/>
    </row>
    <row r="15" spans="3:29" x14ac:dyDescent="0.3">
      <c r="C15" s="16">
        <v>10</v>
      </c>
      <c r="D15" s="6"/>
      <c r="E15" s="3"/>
      <c r="F15" s="3"/>
      <c r="G15" s="3"/>
      <c r="H15" s="3"/>
      <c r="I15" s="3"/>
      <c r="J15" s="5"/>
      <c r="K15" s="36"/>
      <c r="L15" s="39"/>
      <c r="M15" s="15"/>
      <c r="N15" s="14"/>
      <c r="O15" s="5"/>
      <c r="P15" s="15"/>
      <c r="Q15" s="4"/>
      <c r="R15" s="42"/>
      <c r="S15" s="45"/>
    </row>
    <row r="16" spans="3:29" x14ac:dyDescent="0.3">
      <c r="C16" s="16">
        <v>11</v>
      </c>
      <c r="D16" s="6"/>
      <c r="E16" s="3"/>
      <c r="F16" s="3"/>
      <c r="G16" s="3"/>
      <c r="H16" s="3"/>
      <c r="I16" s="3"/>
      <c r="J16" s="5"/>
      <c r="K16" s="36"/>
      <c r="L16" s="39"/>
      <c r="M16" s="15"/>
      <c r="N16" s="14"/>
      <c r="O16" s="5"/>
      <c r="P16" s="15"/>
      <c r="Q16" s="4"/>
      <c r="R16" s="42"/>
      <c r="S16" s="45"/>
    </row>
    <row r="17" spans="3:19" x14ac:dyDescent="0.3">
      <c r="C17" s="16">
        <v>12</v>
      </c>
      <c r="D17" s="6"/>
      <c r="E17" s="3"/>
      <c r="F17" s="3"/>
      <c r="G17" s="3"/>
      <c r="H17" s="3"/>
      <c r="I17" s="3"/>
      <c r="J17" s="5"/>
      <c r="K17" s="36"/>
      <c r="L17" s="39"/>
      <c r="M17" s="15"/>
      <c r="N17" s="14"/>
      <c r="O17" s="5"/>
      <c r="P17" s="15"/>
      <c r="Q17" s="4"/>
      <c r="R17" s="42"/>
      <c r="S17" s="45"/>
    </row>
    <row r="18" spans="3:19" x14ac:dyDescent="0.3">
      <c r="C18" s="16">
        <v>13</v>
      </c>
      <c r="D18" s="6"/>
      <c r="E18" s="3"/>
      <c r="F18" s="3"/>
      <c r="G18" s="3"/>
      <c r="H18" s="3"/>
      <c r="I18" s="3"/>
      <c r="J18" s="5"/>
      <c r="K18" s="36"/>
      <c r="L18" s="39"/>
      <c r="M18" s="15"/>
      <c r="N18" s="14"/>
      <c r="O18" s="5"/>
      <c r="P18" s="15"/>
      <c r="Q18" s="4"/>
      <c r="R18" s="42"/>
      <c r="S18" s="45"/>
    </row>
    <row r="19" spans="3:19" x14ac:dyDescent="0.3">
      <c r="C19" s="16">
        <v>14</v>
      </c>
      <c r="D19" s="6"/>
      <c r="E19" s="3"/>
      <c r="F19" s="3"/>
      <c r="G19" s="3"/>
      <c r="H19" s="3"/>
      <c r="I19" s="3"/>
      <c r="J19" s="5"/>
      <c r="K19" s="36"/>
      <c r="L19" s="39"/>
      <c r="M19" s="15"/>
      <c r="N19" s="14"/>
      <c r="O19" s="5"/>
      <c r="P19" s="15"/>
      <c r="Q19" s="4"/>
      <c r="R19" s="42"/>
      <c r="S19" s="45"/>
    </row>
    <row r="20" spans="3:19" x14ac:dyDescent="0.3">
      <c r="C20" s="16">
        <v>15</v>
      </c>
      <c r="D20" s="6"/>
      <c r="E20" s="3"/>
      <c r="F20" s="3"/>
      <c r="G20" s="3"/>
      <c r="H20" s="3"/>
      <c r="I20" s="3"/>
      <c r="J20" s="5"/>
      <c r="K20" s="36"/>
      <c r="L20" s="39"/>
      <c r="M20" s="15"/>
      <c r="N20" s="14"/>
      <c r="O20" s="5"/>
      <c r="P20" s="15"/>
      <c r="Q20" s="4"/>
      <c r="R20" s="42"/>
      <c r="S20" s="45"/>
    </row>
    <row r="21" spans="3:19" x14ac:dyDescent="0.3">
      <c r="C21" s="16">
        <v>16</v>
      </c>
      <c r="D21" s="6"/>
      <c r="E21" s="3"/>
      <c r="F21" s="3"/>
      <c r="G21" s="3"/>
      <c r="H21" s="3"/>
      <c r="I21" s="3"/>
      <c r="J21" s="5"/>
      <c r="K21" s="36"/>
      <c r="L21" s="39"/>
      <c r="M21" s="15"/>
      <c r="N21" s="14"/>
      <c r="O21" s="5"/>
      <c r="P21" s="15"/>
      <c r="Q21" s="4"/>
      <c r="R21" s="42"/>
      <c r="S21" s="45"/>
    </row>
    <row r="22" spans="3:19" x14ac:dyDescent="0.3">
      <c r="C22" s="16">
        <v>17</v>
      </c>
      <c r="D22" s="6"/>
      <c r="E22" s="3"/>
      <c r="F22" s="3"/>
      <c r="G22" s="3"/>
      <c r="H22" s="3"/>
      <c r="I22" s="3"/>
      <c r="J22" s="5"/>
      <c r="K22" s="36"/>
      <c r="L22" s="39"/>
      <c r="M22" s="15"/>
      <c r="N22" s="14"/>
      <c r="O22" s="5"/>
      <c r="P22" s="15"/>
      <c r="Q22" s="4"/>
      <c r="R22" s="42"/>
      <c r="S22" s="45"/>
    </row>
    <row r="23" spans="3:19" x14ac:dyDescent="0.3">
      <c r="C23" s="16">
        <v>18</v>
      </c>
      <c r="D23" s="6"/>
      <c r="E23" s="3"/>
      <c r="F23" s="3"/>
      <c r="G23" s="3"/>
      <c r="H23" s="3"/>
      <c r="I23" s="3"/>
      <c r="J23" s="5"/>
      <c r="K23" s="36"/>
      <c r="L23" s="39"/>
      <c r="M23" s="15"/>
      <c r="N23" s="14"/>
      <c r="O23" s="5"/>
      <c r="P23" s="15"/>
      <c r="Q23" s="4"/>
      <c r="R23" s="42"/>
      <c r="S23" s="45"/>
    </row>
    <row r="24" spans="3:19" x14ac:dyDescent="0.3">
      <c r="C24" s="16">
        <v>19</v>
      </c>
      <c r="D24" s="6"/>
      <c r="E24" s="3"/>
      <c r="F24" s="3"/>
      <c r="G24" s="3"/>
      <c r="H24" s="3"/>
      <c r="I24" s="3"/>
      <c r="J24" s="5"/>
      <c r="K24" s="36"/>
      <c r="L24" s="39"/>
      <c r="M24" s="15"/>
      <c r="N24" s="14"/>
      <c r="O24" s="5"/>
      <c r="P24" s="15"/>
      <c r="Q24" s="4"/>
      <c r="R24" s="42"/>
      <c r="S24" s="45"/>
    </row>
    <row r="25" spans="3:19" x14ac:dyDescent="0.3">
      <c r="C25" s="16">
        <v>20</v>
      </c>
      <c r="D25" s="6"/>
      <c r="E25" s="3"/>
      <c r="F25" s="3"/>
      <c r="G25" s="3"/>
      <c r="H25" s="3"/>
      <c r="I25" s="3"/>
      <c r="J25" s="5"/>
      <c r="K25" s="36"/>
      <c r="L25" s="39"/>
      <c r="M25" s="15"/>
      <c r="N25" s="14"/>
      <c r="O25" s="5"/>
      <c r="P25" s="15"/>
      <c r="Q25" s="4"/>
      <c r="R25" s="42"/>
      <c r="S25" s="45"/>
    </row>
    <row r="26" spans="3:19" x14ac:dyDescent="0.3">
      <c r="C26" s="16">
        <v>21</v>
      </c>
      <c r="D26" s="6"/>
      <c r="E26" s="3"/>
      <c r="F26" s="3"/>
      <c r="G26" s="3"/>
      <c r="H26" s="3"/>
      <c r="I26" s="3"/>
      <c r="J26" s="5"/>
      <c r="K26" s="36"/>
      <c r="L26" s="39"/>
      <c r="M26" s="15"/>
      <c r="N26" s="14"/>
      <c r="O26" s="5"/>
      <c r="P26" s="15"/>
      <c r="Q26" s="4"/>
      <c r="R26" s="42"/>
      <c r="S26" s="45"/>
    </row>
    <row r="27" spans="3:19" x14ac:dyDescent="0.3">
      <c r="C27" s="16">
        <v>22</v>
      </c>
      <c r="D27" s="6"/>
      <c r="E27" s="3"/>
      <c r="F27" s="3"/>
      <c r="G27" s="3"/>
      <c r="H27" s="3"/>
      <c r="I27" s="3"/>
      <c r="J27" s="5"/>
      <c r="K27" s="36"/>
      <c r="L27" s="39"/>
      <c r="M27" s="15"/>
      <c r="N27" s="14"/>
      <c r="O27" s="5"/>
      <c r="P27" s="15"/>
      <c r="Q27" s="4"/>
      <c r="R27" s="42"/>
      <c r="S27" s="45"/>
    </row>
    <row r="28" spans="3:19" x14ac:dyDescent="0.3">
      <c r="C28" s="16">
        <v>23</v>
      </c>
      <c r="D28" s="6"/>
      <c r="E28" s="3"/>
      <c r="F28" s="3"/>
      <c r="G28" s="3"/>
      <c r="H28" s="3"/>
      <c r="I28" s="3"/>
      <c r="J28" s="5"/>
      <c r="K28" s="36"/>
      <c r="L28" s="39"/>
      <c r="M28" s="15"/>
      <c r="N28" s="14"/>
      <c r="O28" s="5"/>
      <c r="P28" s="15"/>
      <c r="Q28" s="4"/>
      <c r="R28" s="42"/>
      <c r="S28" s="45"/>
    </row>
    <row r="29" spans="3:19" x14ac:dyDescent="0.3">
      <c r="C29" s="16">
        <v>24</v>
      </c>
      <c r="D29" s="6"/>
      <c r="E29" s="3"/>
      <c r="F29" s="3"/>
      <c r="G29" s="3"/>
      <c r="H29" s="3"/>
      <c r="I29" s="3"/>
      <c r="J29" s="5"/>
      <c r="K29" s="36"/>
      <c r="L29" s="39"/>
      <c r="M29" s="15"/>
      <c r="N29" s="14"/>
      <c r="O29" s="5"/>
      <c r="P29" s="15"/>
      <c r="Q29" s="4"/>
      <c r="R29" s="42"/>
      <c r="S29" s="45"/>
    </row>
    <row r="30" spans="3:19" x14ac:dyDescent="0.3">
      <c r="C30" s="16">
        <v>25</v>
      </c>
      <c r="D30" s="6"/>
      <c r="E30" s="3"/>
      <c r="F30" s="3"/>
      <c r="G30" s="3"/>
      <c r="H30" s="3"/>
      <c r="I30" s="3"/>
      <c r="J30" s="5"/>
      <c r="K30" s="36"/>
      <c r="L30" s="39"/>
      <c r="M30" s="15"/>
      <c r="N30" s="14"/>
      <c r="O30" s="5"/>
      <c r="P30" s="15"/>
      <c r="Q30" s="4"/>
      <c r="R30" s="42"/>
      <c r="S30" s="45"/>
    </row>
    <row r="31" spans="3:19" x14ac:dyDescent="0.3">
      <c r="C31" s="16">
        <v>26</v>
      </c>
      <c r="D31" s="6"/>
      <c r="E31" s="3"/>
      <c r="F31" s="3"/>
      <c r="G31" s="3"/>
      <c r="H31" s="3"/>
      <c r="I31" s="3"/>
      <c r="J31" s="5"/>
      <c r="K31" s="36"/>
      <c r="L31" s="39"/>
      <c r="M31" s="15"/>
      <c r="N31" s="14"/>
      <c r="O31" s="5"/>
      <c r="P31" s="15"/>
      <c r="Q31" s="4"/>
      <c r="R31" s="42"/>
      <c r="S31" s="45"/>
    </row>
    <row r="32" spans="3:19" x14ac:dyDescent="0.3">
      <c r="C32" s="16">
        <v>27</v>
      </c>
      <c r="D32" s="6"/>
      <c r="E32" s="3"/>
      <c r="F32" s="3"/>
      <c r="G32" s="3"/>
      <c r="H32" s="3"/>
      <c r="I32" s="3"/>
      <c r="J32" s="5"/>
      <c r="K32" s="36"/>
      <c r="L32" s="39"/>
      <c r="M32" s="15"/>
      <c r="N32" s="14"/>
      <c r="O32" s="5"/>
      <c r="P32" s="15"/>
      <c r="Q32" s="4"/>
      <c r="R32" s="42"/>
      <c r="S32" s="45"/>
    </row>
    <row r="33" spans="3:19" x14ac:dyDescent="0.3">
      <c r="C33" s="16">
        <v>28</v>
      </c>
      <c r="D33" s="6"/>
      <c r="E33" s="3"/>
      <c r="F33" s="3"/>
      <c r="G33" s="3"/>
      <c r="H33" s="3"/>
      <c r="I33" s="3"/>
      <c r="J33" s="5"/>
      <c r="K33" s="36"/>
      <c r="L33" s="39"/>
      <c r="M33" s="15"/>
      <c r="N33" s="14"/>
      <c r="O33" s="5"/>
      <c r="P33" s="15"/>
      <c r="Q33" s="4"/>
      <c r="R33" s="42"/>
      <c r="S33" s="45"/>
    </row>
    <row r="34" spans="3:19" x14ac:dyDescent="0.3">
      <c r="C34" s="16">
        <v>29</v>
      </c>
      <c r="D34" s="6"/>
      <c r="E34" s="3"/>
      <c r="F34" s="3"/>
      <c r="G34" s="3"/>
      <c r="H34" s="3"/>
      <c r="I34" s="3"/>
      <c r="J34" s="5"/>
      <c r="K34" s="36"/>
      <c r="L34" s="39"/>
      <c r="M34" s="15"/>
      <c r="N34" s="14"/>
      <c r="O34" s="5"/>
      <c r="P34" s="15"/>
      <c r="Q34" s="4"/>
      <c r="R34" s="42"/>
      <c r="S34" s="45"/>
    </row>
    <row r="35" spans="3:19" x14ac:dyDescent="0.3">
      <c r="C35" s="16">
        <v>30</v>
      </c>
      <c r="D35" s="6"/>
      <c r="E35" s="3"/>
      <c r="F35" s="3"/>
      <c r="G35" s="3"/>
      <c r="H35" s="3"/>
      <c r="I35" s="3"/>
      <c r="J35" s="5"/>
      <c r="K35" s="36"/>
      <c r="L35" s="39"/>
      <c r="M35" s="15"/>
      <c r="N35" s="14"/>
      <c r="O35" s="5"/>
      <c r="P35" s="15"/>
      <c r="Q35" s="4"/>
      <c r="R35" s="42"/>
      <c r="S35" s="45"/>
    </row>
    <row r="36" spans="3:19" ht="15" thickBot="1" x14ac:dyDescent="0.35">
      <c r="C36" s="30">
        <v>31</v>
      </c>
      <c r="D36" s="10"/>
      <c r="E36" s="11"/>
      <c r="F36" s="11"/>
      <c r="G36" s="11"/>
      <c r="H36" s="11"/>
      <c r="I36" s="11"/>
      <c r="J36" s="12"/>
      <c r="K36" s="37"/>
      <c r="L36" s="40"/>
      <c r="M36" s="31"/>
      <c r="N36" s="32"/>
      <c r="O36" s="12"/>
      <c r="P36" s="31"/>
      <c r="Q36" s="33"/>
      <c r="R36" s="43"/>
      <c r="S36" s="46"/>
    </row>
    <row r="37" spans="3:19" ht="15" thickBot="1" x14ac:dyDescent="0.35">
      <c r="C37" s="48" t="s">
        <v>10</v>
      </c>
      <c r="D37" s="49">
        <f>SUM(D6:D36)</f>
        <v>0</v>
      </c>
      <c r="E37" s="50">
        <f t="shared" ref="E37:J37" si="0">SUM(E6:E36)</f>
        <v>0</v>
      </c>
      <c r="F37" s="50">
        <f t="shared" si="0"/>
        <v>0</v>
      </c>
      <c r="G37" s="50">
        <f t="shared" si="0"/>
        <v>0</v>
      </c>
      <c r="H37" s="50">
        <f t="shared" si="0"/>
        <v>0</v>
      </c>
      <c r="I37" s="50">
        <f t="shared" si="0"/>
        <v>0</v>
      </c>
      <c r="J37" s="51">
        <f t="shared" si="0"/>
        <v>0</v>
      </c>
      <c r="K37" s="52">
        <f>SUM(K6:K36)</f>
        <v>0</v>
      </c>
      <c r="L37" s="59">
        <f>SUM(L6:L36)</f>
        <v>0</v>
      </c>
      <c r="M37" s="54">
        <f>MAX(M6:M36)</f>
        <v>0</v>
      </c>
      <c r="N37" s="53" t="e">
        <f>AVERAGE(N6:N36)</f>
        <v>#DIV/0!</v>
      </c>
      <c r="O37" s="51">
        <f>MIN(O6:O36)</f>
        <v>0</v>
      </c>
      <c r="P37" s="27">
        <f t="shared" ref="P37" si="1">SUM(P6:P36)</f>
        <v>0</v>
      </c>
      <c r="Q37" s="28">
        <f t="shared" ref="Q37" si="2">SUM(Q6:Q36)</f>
        <v>0</v>
      </c>
      <c r="R37" s="29">
        <f t="shared" ref="R37" si="3">SUM(R6:R36)</f>
        <v>0</v>
      </c>
      <c r="S37" s="55" t="e">
        <f>Q37/P37*100</f>
        <v>#DIV/0!</v>
      </c>
    </row>
    <row r="38" spans="3:19" ht="15" thickBot="1" x14ac:dyDescent="0.35">
      <c r="C38" s="34" t="s">
        <v>18</v>
      </c>
      <c r="D38" s="27"/>
      <c r="E38" s="28"/>
      <c r="F38" s="28"/>
      <c r="G38" s="28"/>
      <c r="H38" s="28"/>
      <c r="I38" s="28"/>
      <c r="J38" s="29"/>
      <c r="K38" s="27"/>
      <c r="L38" s="29"/>
      <c r="M38" s="27"/>
      <c r="N38" s="28"/>
      <c r="O38" s="29"/>
      <c r="P38" s="56"/>
      <c r="Q38" s="57"/>
      <c r="R38" s="58"/>
      <c r="S38" s="34"/>
    </row>
    <row r="39" spans="3:19" ht="15" thickBot="1" x14ac:dyDescent="0.35">
      <c r="C39" s="34" t="s">
        <v>15</v>
      </c>
      <c r="D39" s="27"/>
      <c r="E39" s="28"/>
      <c r="F39" s="28"/>
      <c r="G39" s="28"/>
      <c r="H39" s="28"/>
      <c r="I39" s="28"/>
      <c r="J39" s="29"/>
      <c r="K39" s="27"/>
      <c r="L39" s="29"/>
      <c r="M39" s="27"/>
      <c r="N39" s="28"/>
      <c r="O39" s="29"/>
      <c r="P39" s="56"/>
      <c r="Q39" s="57"/>
      <c r="R39" s="58"/>
      <c r="S39" s="34"/>
    </row>
  </sheetData>
  <mergeCells count="18">
    <mergeCell ref="T3:AC3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C3:S3"/>
    <mergeCell ref="D4:J4"/>
    <mergeCell ref="C4:C5"/>
    <mergeCell ref="S4:S5"/>
    <mergeCell ref="M4:O4"/>
    <mergeCell ref="P4:R4"/>
    <mergeCell ref="K4:L4"/>
  </mergeCells>
  <phoneticPr fontId="1" type="noConversion"/>
  <pageMargins left="0.7" right="0.7" top="0.75" bottom="0.75" header="0.3" footer="0.3"/>
  <pageSetup paperSize="9" scale="95" fitToWidth="0" orientation="landscape" verticalDpi="0" r:id="rId1"/>
  <ignoredErrors>
    <ignoredError sqref="D37:J37" formulaRange="1"/>
  </ignoredError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月報</vt:lpstr>
      <vt:lpstr>月報!Print_Area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星佑_整合EMS處 羅胤恆</dc:creator>
  <cp:lastModifiedBy>星佑_EMS二部 江妤晴</cp:lastModifiedBy>
  <cp:lastPrinted>2023-12-08T08:01:07Z</cp:lastPrinted>
  <dcterms:created xsi:type="dcterms:W3CDTF">2015-06-05T18:19:34Z</dcterms:created>
  <dcterms:modified xsi:type="dcterms:W3CDTF">2024-03-06T05:50:50Z</dcterms:modified>
</cp:coreProperties>
</file>