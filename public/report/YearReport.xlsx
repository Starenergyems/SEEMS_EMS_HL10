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029"/>
  <workbookPr/>
  <mc:AlternateContent xmlns:mc="http://schemas.openxmlformats.org/markup-compatibility/2006">
    <mc:Choice Requires="x15">
      <x15ac:absPath xmlns:x15ac="http://schemas.microsoft.com/office/spreadsheetml/2010/11/ac" url="C:\Test\19-5Restful+API\RestfulAPI\"/>
    </mc:Choice>
  </mc:AlternateContent>
  <xr:revisionPtr revIDLastSave="0" documentId="13_ncr:1_{FD006E39-8AA3-46E0-9354-E6943D6B2AE4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年報" sheetId="3" r:id="rId1"/>
  </sheets>
  <definedNames>
    <definedName name="_xlnm.Print_Area" localSheetId="0">年報!$C$3:$P$36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" i="3" l="1"/>
  <c r="N8" i="3"/>
  <c r="N9" i="3"/>
  <c r="N10" i="3"/>
  <c r="N11" i="3"/>
  <c r="N12" i="3"/>
  <c r="N13" i="3"/>
  <c r="N14" i="3"/>
  <c r="N15" i="3"/>
  <c r="N16" i="3"/>
  <c r="N17" i="3"/>
  <c r="N6" i="3"/>
  <c r="O7" i="3"/>
  <c r="P18" i="3"/>
  <c r="M18" i="3" l="1"/>
  <c r="L18" i="3"/>
  <c r="K18" i="3"/>
  <c r="J18" i="3"/>
  <c r="I18" i="3"/>
  <c r="H18" i="3"/>
  <c r="G18" i="3"/>
  <c r="F18" i="3"/>
  <c r="E18" i="3"/>
  <c r="D18" i="3"/>
  <c r="O17" i="3"/>
  <c r="O16" i="3"/>
  <c r="O15" i="3"/>
  <c r="O14" i="3"/>
  <c r="O13" i="3"/>
  <c r="O12" i="3"/>
  <c r="O11" i="3"/>
  <c r="O10" i="3"/>
  <c r="O9" i="3"/>
  <c r="O8" i="3"/>
  <c r="O6" i="3"/>
  <c r="N18" i="3" l="1"/>
  <c r="O18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tc={F6C53C23-FFA1-4362-A18B-75EA2901F729}</author>
  </authors>
  <commentList>
    <comment ref="C3" authorId="0" shapeId="0" xr:uid="{F6C53C23-FFA1-4362-A18B-75EA2901F729}">
      <text>
        <t>[對話串註解]
您的 Excel 版本可讓您讀取此對話串註解; 但若以較新的 Excel 版本開啟此檔案，將會移除對它進行的所有編輯。深入了解: https://go.microsoft.com/fwlink/?linkid=870924。
註解:
    XX=縣市
YY=地區
ZZ=併網容量
e.g. 花蓮和平10MW</t>
      </text>
    </comment>
  </commentList>
</comments>
</file>

<file path=xl/sharedStrings.xml><?xml version="1.0" encoding="utf-8"?>
<sst xmlns="http://schemas.openxmlformats.org/spreadsheetml/2006/main" count="26" uniqueCount="15">
  <si>
    <t>充放電效率
(%)</t>
    <phoneticPr fontId="1" type="noConversion"/>
  </si>
  <si>
    <t>服務品質指標 (次數)</t>
    <phoneticPr fontId="1" type="noConversion"/>
  </si>
  <si>
    <t>Import</t>
    <phoneticPr fontId="1" type="noConversion"/>
  </si>
  <si>
    <t>Export</t>
    <phoneticPr fontId="1" type="noConversion"/>
  </si>
  <si>
    <t>Net</t>
    <phoneticPr fontId="1" type="noConversion"/>
  </si>
  <si>
    <t>總用電量 (MWh)</t>
    <phoneticPr fontId="1" type="noConversion"/>
  </si>
  <si>
    <t>Total</t>
    <phoneticPr fontId="1" type="noConversion"/>
  </si>
  <si>
    <t>中止服務</t>
    <phoneticPr fontId="1" type="noConversion"/>
  </si>
  <si>
    <t>Minute</t>
    <phoneticPr fontId="1" type="noConversion"/>
  </si>
  <si>
    <t>###</t>
  </si>
  <si>
    <t>###</t>
    <phoneticPr fontId="1" type="noConversion"/>
  </si>
  <si>
    <r>
      <rPr>
        <sz val="11"/>
        <color rgb="FFFF0000"/>
        <rFont val="微軟正黑體"/>
        <family val="2"/>
        <charset val="136"/>
      </rPr>
      <t>XXYYZZ</t>
    </r>
    <r>
      <rPr>
        <sz val="11"/>
        <color theme="1"/>
        <rFont val="微軟正黑體"/>
        <family val="2"/>
        <charset val="136"/>
      </rPr>
      <t xml:space="preserve">MW </t>
    </r>
    <r>
      <rPr>
        <sz val="11"/>
        <color rgb="FFFF0000"/>
        <rFont val="微軟正黑體"/>
        <family val="2"/>
        <charset val="136"/>
      </rPr>
      <t>E-dReg</t>
    </r>
    <r>
      <rPr>
        <sz val="11"/>
        <color theme="1"/>
        <rFont val="微軟正黑體"/>
        <family val="2"/>
        <charset val="136"/>
      </rPr>
      <t xml:space="preserve"> </t>
    </r>
    <r>
      <rPr>
        <sz val="11"/>
        <color rgb="FFFF0000"/>
        <rFont val="微軟正黑體"/>
        <family val="2"/>
        <charset val="136"/>
      </rPr>
      <t>AA</t>
    </r>
    <r>
      <rPr>
        <sz val="11"/>
        <rFont val="微軟正黑體"/>
        <family val="2"/>
        <charset val="136"/>
      </rPr>
      <t>年</t>
    </r>
    <r>
      <rPr>
        <sz val="11"/>
        <color theme="1"/>
        <rFont val="微軟正黑體"/>
        <family val="2"/>
        <charset val="136"/>
      </rPr>
      <t xml:space="preserve"> 年報</t>
    </r>
    <phoneticPr fontId="1" type="noConversion"/>
  </si>
  <si>
    <t>月
(Day)</t>
    <phoneticPr fontId="1" type="noConversion"/>
  </si>
  <si>
    <t>上期</t>
    <phoneticPr fontId="1" type="noConversion"/>
  </si>
  <si>
    <t>輔助用電
(MWh)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</si>
</sst>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_ "/>
    <numFmt numFmtId="177" formatCode="0.0"/>
  </numFmts>
  <fonts count="6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1"/>
      <color theme="1"/>
      <name val="微軟正黑體"/>
      <family val="2"/>
      <charset val="136"/>
    </font>
    <font>
      <sz val="11"/>
      <color rgb="FFFF0000"/>
      <name val="微軟正黑體"/>
      <family val="2"/>
      <charset val="136"/>
    </font>
    <font>
      <sz val="11"/>
      <name val="微軟正黑體"/>
      <family val="2"/>
      <charset val="136"/>
    </font>
  </fonts>
  <fills count="2">
    <fill>
      <patternFill patternType="none"/>
    </fill>
    <fill>
      <patternFill patternType="gray125"/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>
      <alignment vertical="center"/>
    </xf>
  </cellStyleXfs>
  <cellXfs count="65">
    <xf numFmtId="0" fontId="0" fillId="0" borderId="0" xfId="0"/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177" fontId="3" fillId="0" borderId="1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177" fontId="3" fillId="0" borderId="5" xfId="0" applyNumberFormat="1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22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7" xfId="0" applyFont="1" applyBorder="1" applyAlignment="1">
      <alignment horizontal="center" vertical="center"/>
    </xf>
    <xf numFmtId="177" fontId="3" fillId="0" borderId="2" xfId="0" applyNumberFormat="1" applyFont="1" applyBorder="1" applyAlignment="1">
      <alignment horizontal="center"/>
    </xf>
    <xf numFmtId="177" fontId="3" fillId="0" borderId="3" xfId="0" applyNumberFormat="1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19" xfId="0" applyFont="1" applyBorder="1" applyAlignment="1">
      <alignment horizontal="center" vertical="center" wrapText="1"/>
    </xf>
    <xf numFmtId="0" fontId="3" fillId="0" borderId="24" xfId="0" applyFont="1" applyBorder="1" applyAlignment="1">
      <alignment horizontal="center"/>
    </xf>
    <xf numFmtId="177" fontId="3" fillId="0" borderId="25" xfId="1" applyNumberFormat="1" applyFont="1" applyBorder="1" applyAlignment="1">
      <alignment horizontal="center"/>
    </xf>
    <xf numFmtId="177" fontId="3" fillId="0" borderId="26" xfId="1" applyNumberFormat="1" applyFont="1" applyBorder="1" applyAlignment="1">
      <alignment horizontal="center"/>
    </xf>
    <xf numFmtId="177" fontId="3" fillId="0" borderId="28" xfId="1" applyNumberFormat="1" applyFont="1" applyBorder="1" applyAlignment="1">
      <alignment horizontal="center"/>
    </xf>
    <xf numFmtId="177" fontId="3" fillId="0" borderId="24" xfId="1" applyNumberFormat="1" applyFont="1" applyBorder="1" applyAlignment="1">
      <alignment horizontal="center"/>
    </xf>
    <xf numFmtId="0" fontId="3" fillId="0" borderId="29" xfId="0" applyFont="1" applyBorder="1" applyAlignment="1">
      <alignment horizontal="center"/>
    </xf>
    <xf numFmtId="0" fontId="3" fillId="0" borderId="30" xfId="0" applyFont="1" applyBorder="1" applyAlignment="1">
      <alignment horizontal="center"/>
    </xf>
    <xf numFmtId="0" fontId="3" fillId="0" borderId="31" xfId="0" applyFont="1" applyBorder="1" applyAlignment="1">
      <alignment horizontal="center"/>
    </xf>
    <xf numFmtId="0" fontId="3" fillId="0" borderId="32" xfId="0" applyFont="1" applyBorder="1" applyAlignment="1">
      <alignment horizontal="center"/>
    </xf>
    <xf numFmtId="1" fontId="3" fillId="0" borderId="30" xfId="0" applyNumberFormat="1" applyFont="1" applyBorder="1" applyAlignment="1">
      <alignment horizontal="center"/>
    </xf>
    <xf numFmtId="177" fontId="3" fillId="0" borderId="33" xfId="1" applyNumberFormat="1" applyFont="1" applyBorder="1" applyAlignment="1">
      <alignment horizontal="center"/>
    </xf>
    <xf numFmtId="0" fontId="3" fillId="0" borderId="34" xfId="0" applyFont="1" applyBorder="1" applyAlignment="1">
      <alignment horizontal="center"/>
    </xf>
    <xf numFmtId="0" fontId="3" fillId="0" borderId="23" xfId="0" applyFont="1" applyBorder="1" applyAlignment="1">
      <alignment horizontal="center"/>
    </xf>
    <xf numFmtId="0" fontId="3" fillId="0" borderId="35" xfId="0" applyFont="1" applyBorder="1" applyAlignment="1">
      <alignment horizontal="center"/>
    </xf>
    <xf numFmtId="177" fontId="3" fillId="0" borderId="36" xfId="1" applyNumberFormat="1" applyFont="1" applyBorder="1" applyAlignment="1">
      <alignment horizontal="center"/>
    </xf>
    <xf numFmtId="0" fontId="3" fillId="0" borderId="37" xfId="0" applyFont="1" applyBorder="1" applyAlignment="1">
      <alignment horizontal="center"/>
    </xf>
    <xf numFmtId="177" fontId="3" fillId="0" borderId="37" xfId="1" applyNumberFormat="1" applyFont="1" applyBorder="1" applyAlignment="1">
      <alignment horizontal="center"/>
    </xf>
    <xf numFmtId="1" fontId="3" fillId="0" borderId="22" xfId="0" applyNumberFormat="1" applyFont="1" applyBorder="1" applyAlignment="1">
      <alignment horizontal="center"/>
    </xf>
    <xf numFmtId="1" fontId="3" fillId="0" borderId="20" xfId="0" applyNumberFormat="1" applyFont="1" applyBorder="1" applyAlignment="1">
      <alignment horizontal="center"/>
    </xf>
    <xf numFmtId="177" fontId="3" fillId="0" borderId="18" xfId="1" applyNumberFormat="1" applyFont="1" applyBorder="1" applyAlignment="1">
      <alignment horizontal="center"/>
    </xf>
    <xf numFmtId="177" fontId="3" fillId="0" borderId="38" xfId="1" applyNumberFormat="1" applyFont="1" applyBorder="1" applyAlignment="1">
      <alignment horizont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39" xfId="0" applyFont="1" applyBorder="1" applyAlignment="1">
      <alignment horizontal="center" vertical="center"/>
    </xf>
    <xf numFmtId="0" fontId="3" fillId="0" borderId="40" xfId="0" applyFont="1" applyBorder="1" applyAlignment="1">
      <alignment horizontal="center"/>
    </xf>
    <xf numFmtId="176" fontId="3" fillId="0" borderId="4" xfId="0" applyNumberFormat="1" applyFont="1" applyBorder="1" applyAlignment="1">
      <alignment horizontal="center"/>
    </xf>
    <xf numFmtId="176" fontId="3" fillId="0" borderId="6" xfId="0" applyNumberFormat="1" applyFont="1" applyBorder="1" applyAlignment="1">
      <alignment horizontal="center"/>
    </xf>
    <xf numFmtId="177" fontId="3" fillId="0" borderId="7" xfId="0" applyNumberFormat="1" applyFont="1" applyBorder="1" applyAlignment="1">
      <alignment horizontal="center"/>
    </xf>
    <xf numFmtId="177" fontId="3" fillId="0" borderId="8" xfId="0" applyNumberFormat="1" applyFont="1" applyBorder="1" applyAlignment="1">
      <alignment horizontal="center"/>
    </xf>
    <xf numFmtId="176" fontId="3" fillId="0" borderId="9" xfId="0" applyNumberFormat="1" applyFont="1" applyBorder="1" applyAlignment="1">
      <alignment horizontal="center"/>
    </xf>
    <xf numFmtId="0" fontId="3" fillId="0" borderId="29" xfId="0" applyFont="1" applyBorder="1" applyAlignment="1">
      <alignment horizontal="center" vertical="center" wrapText="1"/>
    </xf>
    <xf numFmtId="0" fontId="3" fillId="0" borderId="36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19" xfId="0" applyFont="1" applyBorder="1" applyAlignment="1">
      <alignment horizontal="center" vertical="center" wrapText="1"/>
    </xf>
    <xf numFmtId="0" fontId="3" fillId="0" borderId="2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18" xfId="0" applyFont="1" applyBorder="1" applyAlignment="1">
      <alignment horizontal="center" vertical="center" wrapText="1"/>
    </xf>
    <xf numFmtId="0" fontId="3" fillId="0" borderId="25" xfId="0" applyFont="1" applyBorder="1" applyAlignment="1">
      <alignment horizontal="center" vertical="center" wrapText="1"/>
    </xf>
    <xf numFmtId="0" fontId="3" fillId="0" borderId="27" xfId="0" applyFont="1" applyBorder="1" applyAlignment="1">
      <alignment horizontal="center" vertical="center"/>
    </xf>
  </cellXfs>
  <cellStyles count="2">
    <cellStyle name="一般" xfId="0" builtinId="0"/>
    <cellStyle name="百分比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軟正黑體" panose="020B0604030504040204" pitchFamily="34" charset="-120"/>
                <a:ea typeface="微軟正黑體" panose="020B0604030504040204" pitchFamily="34" charset="-120"/>
                <a:cs typeface="+mn-cs"/>
              </a:defRPr>
            </a:pPr>
            <a:r>
              <a:rPr lang="zh-TW" altLang="en-US">
                <a:latin typeface="微軟正黑體" panose="020B0604030504040204" pitchFamily="34" charset="-120"/>
                <a:ea typeface="微軟正黑體" panose="020B0604030504040204" pitchFamily="34" charset="-120"/>
              </a:rPr>
              <a:t>服務品質指標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微軟正黑體" panose="020B0604030504040204" pitchFamily="34" charset="-120"/>
              <a:ea typeface="微軟正黑體" panose="020B0604030504040204" pitchFamily="34" charset="-120"/>
              <a:cs typeface="+mn-cs"/>
            </a:defRPr>
          </a:pPr>
          <a:endParaRPr lang="zh-TW"/>
        </a:p>
      </c:txPr>
    </c:title>
    <c:autoTitleDeleted val="0"/>
    <c:plotArea>
      <c:layout/>
      <c:ofPieChart>
        <c:ofPieType val="pie"/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5B9-4AC0-8517-5E415ED383A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5B9-4AC0-8517-5E415ED383A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5B9-4AC0-8517-5E415ED383A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5B9-4AC0-8517-5E415ED383A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5B9-4AC0-8517-5E415ED383A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5B9-4AC0-8517-5E415ED383A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5B9-4AC0-8517-5E415ED383A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A20B-49F7-AC6B-CCB0D6C2A3FE}"/>
              </c:ext>
            </c:extLst>
          </c:dPt>
          <c:cat>
            <c:numRef>
              <c:f>年報!$D$5:$J$5</c:f>
              <c:numCache>
                <c:formatCode>General</c:formatCode>
                <c:ptCount val="7"/>
                <c:pt idx="0">
                  <c:v>1</c:v>
                </c:pt>
                <c:pt idx="1">
                  <c:v>0.8</c:v>
                </c:pt>
                <c:pt idx="2">
                  <c:v>0.6</c:v>
                </c:pt>
                <c:pt idx="3">
                  <c:v>0.4</c:v>
                </c:pt>
                <c:pt idx="4">
                  <c:v>0.2</c:v>
                </c:pt>
                <c:pt idx="5">
                  <c:v>0</c:v>
                </c:pt>
                <c:pt idx="6">
                  <c:v>-1</c:v>
                </c:pt>
              </c:numCache>
            </c:numRef>
          </c:cat>
          <c:val>
            <c:numRef>
              <c:f>年報!$D$18:$J$18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5B9-4AC0-8517-5E415ED383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gapWidth val="100"/>
        <c:splitType val="pos"/>
        <c:splitPos val="6"/>
        <c:secondPieSize val="75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軟正黑體" panose="020B0604030504040204" pitchFamily="34" charset="-120"/>
                <a:ea typeface="微軟正黑體" panose="020B0604030504040204" pitchFamily="34" charset="-120"/>
                <a:cs typeface="+mn-cs"/>
              </a:defRPr>
            </a:pPr>
            <a:r>
              <a:rPr lang="zh-TW" altLang="en-US">
                <a:latin typeface="微軟正黑體" panose="020B0604030504040204" pitchFamily="34" charset="-120"/>
                <a:ea typeface="微軟正黑體" panose="020B0604030504040204" pitchFamily="34" charset="-120"/>
              </a:rPr>
              <a:t>充放電效率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微軟正黑體" panose="020B0604030504040204" pitchFamily="34" charset="-120"/>
              <a:ea typeface="微軟正黑體" panose="020B0604030504040204" pitchFamily="34" charset="-120"/>
              <a:cs typeface="+mn-cs"/>
            </a:defRPr>
          </a:pPr>
          <a:endParaRPr lang="zh-TW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val>
            <c:numRef>
              <c:f>年報!$O$6:$O$17</c:f>
              <c:numCache>
                <c:formatCode>0.0</c:formatCode>
                <c:ptCount val="12"/>
                <c:pt idx="0">
                  <c:v>87.17386338079298</c:v>
                </c:pt>
                <c:pt idx="1">
                  <c:v>92.586446890890713</c:v>
                </c:pt>
                <c:pt idx="2">
                  <c:v>91.746563242772112</c:v>
                </c:pt>
                <c:pt idx="3">
                  <c:v>90.999999999999957</c:v>
                </c:pt>
                <c:pt idx="4">
                  <c:v>89.600193919802322</c:v>
                </c:pt>
                <c:pt idx="5">
                  <c:v>90.999999999999957</c:v>
                </c:pt>
                <c:pt idx="6">
                  <c:v>90.533397973267441</c:v>
                </c:pt>
                <c:pt idx="7">
                  <c:v>90.999999999999957</c:v>
                </c:pt>
                <c:pt idx="8">
                  <c:v>90.833481868311836</c:v>
                </c:pt>
                <c:pt idx="9">
                  <c:v>90.999999999999957</c:v>
                </c:pt>
                <c:pt idx="10">
                  <c:v>88.200387839604616</c:v>
                </c:pt>
                <c:pt idx="11">
                  <c:v>92.866408106930251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10-428A-B17A-36E5F30461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697479408"/>
        <c:axId val="1089044047"/>
        <c:axId val="0"/>
      </c:bar3DChart>
      <c:catAx>
        <c:axId val="697479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89044047"/>
        <c:crosses val="autoZero"/>
        <c:auto val="1"/>
        <c:lblAlgn val="ctr"/>
        <c:lblOffset val="100"/>
        <c:noMultiLvlLbl val="0"/>
      </c:catAx>
      <c:valAx>
        <c:axId val="108904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6974794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17145</xdr:colOff>
      <xdr:row>20</xdr:row>
      <xdr:rowOff>1905</xdr:rowOff>
    </xdr:from>
    <xdr:to>
      <xdr:col>9</xdr:col>
      <xdr:colOff>352425</xdr:colOff>
      <xdr:row>35</xdr:row>
      <xdr:rowOff>100965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7C32B531-45FB-4222-BE3F-F22829F3E0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24765</xdr:colOff>
      <xdr:row>20</xdr:row>
      <xdr:rowOff>11429</xdr:rowOff>
    </xdr:from>
    <xdr:to>
      <xdr:col>15</xdr:col>
      <xdr:colOff>750570</xdr:colOff>
      <xdr:row>35</xdr:row>
      <xdr:rowOff>97155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CF49BAB7-7434-4591-A26D-9C67D17827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星佑_整合EMS處 羅胤恆" id="{B8A74333-F443-456F-BDB7-E92946D76E41}" userId="S::steven.lo@hdrenewables.com::5cc4d8c8-8edb-4dcf-9121-6fa7b0de8500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3" dT="2023-11-27T08:34:48.63" personId="{B8A74333-F443-456F-BDB7-E92946D76E41}" id="{F6C53C23-FFA1-4362-A18B-75EA2901F729}">
    <text>XX=縣市
YY=地區
ZZ=併網容量
e.g. 花蓮和平10MW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2E726-C907-436C-820E-D25BB221BFD8}">
  <sheetPr>
    <pageSetUpPr fitToPage="1"/>
  </sheetPr>
  <dimension ref="C2:P19"/>
  <sheetViews>
    <sheetView tabSelected="1" zoomScaleNormal="100" zoomScaleSheetLayoutView="100" workbookViewId="0">
      <selection activeCell="S16" sqref="S16"/>
    </sheetView>
  </sheetViews>
  <sheetFormatPr defaultColWidth="8.75" defaultRowHeight="14.4" x14ac:dyDescent="0.3"/>
  <cols>
    <col min="1" max="2" width="8.75" style="1"/>
    <col min="3" max="3" width="8.75" style="2" customWidth="1"/>
    <col min="4" max="10" width="8.625" style="2" customWidth="1"/>
    <col min="11" max="14" width="10.625" style="1" customWidth="1"/>
    <col min="15" max="15" width="14.25" style="2" bestFit="1" customWidth="1"/>
    <col min="16" max="16" width="12.625" style="2" customWidth="1"/>
    <col min="17" max="16384" width="8.75" style="1"/>
  </cols>
  <sheetData>
    <row r="2" spans="3:16" ht="15" thickBot="1" x14ac:dyDescent="0.35"/>
    <row r="3" spans="3:16" ht="15" thickBot="1" x14ac:dyDescent="0.35">
      <c r="C3" s="54" t="s">
        <v>11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6"/>
      <c r="P3" s="27"/>
    </row>
    <row r="4" spans="3:16" s="2" customFormat="1" ht="14.55" customHeight="1" x14ac:dyDescent="0.3">
      <c r="C4" s="57" t="s">
        <v>12</v>
      </c>
      <c r="D4" s="59" t="s">
        <v>1</v>
      </c>
      <c r="E4" s="60"/>
      <c r="F4" s="60"/>
      <c r="G4" s="60"/>
      <c r="H4" s="60"/>
      <c r="I4" s="60"/>
      <c r="J4" s="61"/>
      <c r="K4" s="21" t="s">
        <v>7</v>
      </c>
      <c r="L4" s="57" t="s">
        <v>5</v>
      </c>
      <c r="M4" s="62"/>
      <c r="N4" s="62"/>
      <c r="O4" s="63" t="s">
        <v>0</v>
      </c>
      <c r="P4" s="52" t="s">
        <v>14</v>
      </c>
    </row>
    <row r="5" spans="3:16" ht="15" thickBot="1" x14ac:dyDescent="0.35">
      <c r="C5" s="58"/>
      <c r="D5" s="6">
        <v>1</v>
      </c>
      <c r="E5" s="7">
        <v>0.8</v>
      </c>
      <c r="F5" s="7">
        <v>0.6</v>
      </c>
      <c r="G5" s="7">
        <v>0.4</v>
      </c>
      <c r="H5" s="7">
        <v>0.2</v>
      </c>
      <c r="I5" s="7">
        <v>0</v>
      </c>
      <c r="J5" s="8">
        <v>-1</v>
      </c>
      <c r="K5" s="15" t="s">
        <v>8</v>
      </c>
      <c r="L5" s="43" t="s">
        <v>2</v>
      </c>
      <c r="M5" s="44" t="s">
        <v>3</v>
      </c>
      <c r="N5" s="45" t="s">
        <v>4</v>
      </c>
      <c r="O5" s="64"/>
      <c r="P5" s="53"/>
    </row>
    <row r="6" spans="3:16" x14ac:dyDescent="0.3">
      <c r="C6" s="12">
        <v>1</v>
      </c>
      <c r="D6" s="13">
        <v>0</v>
      </c>
      <c r="E6" s="14">
        <v>0</v>
      </c>
      <c r="F6" s="14">
        <v>0</v>
      </c>
      <c r="G6" s="14">
        <v>0</v>
      </c>
      <c r="H6" s="14">
        <v>0</v>
      </c>
      <c r="I6" s="14">
        <v>0</v>
      </c>
      <c r="J6" s="9">
        <v>0</v>
      </c>
      <c r="K6" s="39">
        <v>0</v>
      </c>
      <c r="L6" s="16">
        <v>1071.577</v>
      </c>
      <c r="M6" s="17">
        <v>934.13507000000004</v>
      </c>
      <c r="N6" s="47">
        <f>L6-M6</f>
        <v>137.44192999999996</v>
      </c>
      <c r="O6" s="41">
        <f>M6/L6*100</f>
        <v>87.17386338079298</v>
      </c>
      <c r="P6" s="23">
        <v>3.6</v>
      </c>
    </row>
    <row r="7" spans="3:16" x14ac:dyDescent="0.3">
      <c r="C7" s="11">
        <v>2</v>
      </c>
      <c r="D7" s="13">
        <v>0</v>
      </c>
      <c r="E7" s="3">
        <v>0</v>
      </c>
      <c r="F7" s="14">
        <v>0</v>
      </c>
      <c r="G7" s="14">
        <v>0</v>
      </c>
      <c r="H7" s="14">
        <v>0</v>
      </c>
      <c r="I7" s="14">
        <v>0</v>
      </c>
      <c r="J7" s="5">
        <v>0</v>
      </c>
      <c r="K7" s="40">
        <v>0</v>
      </c>
      <c r="L7" s="10">
        <v>1071.577</v>
      </c>
      <c r="M7" s="4">
        <v>992.13507000000004</v>
      </c>
      <c r="N7" s="48">
        <f t="shared" ref="N7:N17" si="0">L7-M7</f>
        <v>79.441929999999957</v>
      </c>
      <c r="O7" s="42">
        <f>M7/L7*100</f>
        <v>92.586446890890713</v>
      </c>
      <c r="P7" s="24">
        <v>3.6</v>
      </c>
    </row>
    <row r="8" spans="3:16" x14ac:dyDescent="0.3">
      <c r="C8" s="11">
        <v>3</v>
      </c>
      <c r="D8" s="13">
        <v>0</v>
      </c>
      <c r="E8" s="3">
        <v>0</v>
      </c>
      <c r="F8" s="14">
        <v>0</v>
      </c>
      <c r="G8" s="14">
        <v>0</v>
      </c>
      <c r="H8" s="14">
        <v>0</v>
      </c>
      <c r="I8" s="14">
        <v>0</v>
      </c>
      <c r="J8" s="5">
        <v>0</v>
      </c>
      <c r="K8" s="40">
        <v>0</v>
      </c>
      <c r="L8" s="10">
        <v>1071.577</v>
      </c>
      <c r="M8" s="4">
        <v>983.13507000000004</v>
      </c>
      <c r="N8" s="48">
        <f t="shared" si="0"/>
        <v>88.441929999999957</v>
      </c>
      <c r="O8" s="42">
        <f t="shared" ref="O8:O18" si="1">M8/L8*100</f>
        <v>91.746563242772112</v>
      </c>
      <c r="P8" s="24">
        <v>3.6</v>
      </c>
    </row>
    <row r="9" spans="3:16" x14ac:dyDescent="0.3">
      <c r="C9" s="11">
        <v>4</v>
      </c>
      <c r="D9" s="13">
        <v>0</v>
      </c>
      <c r="E9" s="3">
        <v>0</v>
      </c>
      <c r="F9" s="14">
        <v>0</v>
      </c>
      <c r="G9" s="14">
        <v>0</v>
      </c>
      <c r="H9" s="14">
        <v>0</v>
      </c>
      <c r="I9" s="14">
        <v>0</v>
      </c>
      <c r="J9" s="5">
        <v>0</v>
      </c>
      <c r="K9" s="40">
        <v>0</v>
      </c>
      <c r="L9" s="10">
        <v>1071.577</v>
      </c>
      <c r="M9" s="4">
        <v>975.13506999999959</v>
      </c>
      <c r="N9" s="48">
        <f t="shared" si="0"/>
        <v>96.441930000000411</v>
      </c>
      <c r="O9" s="42">
        <f t="shared" si="1"/>
        <v>90.999999999999957</v>
      </c>
      <c r="P9" s="24">
        <v>3.6</v>
      </c>
    </row>
    <row r="10" spans="3:16" x14ac:dyDescent="0.3">
      <c r="C10" s="11">
        <v>5</v>
      </c>
      <c r="D10" s="13">
        <v>0</v>
      </c>
      <c r="E10" s="3">
        <v>0</v>
      </c>
      <c r="F10" s="14">
        <v>0</v>
      </c>
      <c r="G10" s="14">
        <v>0</v>
      </c>
      <c r="H10" s="14">
        <v>0</v>
      </c>
      <c r="I10" s="14">
        <v>0</v>
      </c>
      <c r="J10" s="5">
        <v>0</v>
      </c>
      <c r="K10" s="40">
        <v>0</v>
      </c>
      <c r="L10" s="10">
        <v>1071.577</v>
      </c>
      <c r="M10" s="4">
        <v>960.13507000000004</v>
      </c>
      <c r="N10" s="48">
        <f t="shared" si="0"/>
        <v>111.44192999999996</v>
      </c>
      <c r="O10" s="42">
        <f t="shared" si="1"/>
        <v>89.600193919802322</v>
      </c>
      <c r="P10" s="24">
        <v>3.6</v>
      </c>
    </row>
    <row r="11" spans="3:16" x14ac:dyDescent="0.3">
      <c r="C11" s="11">
        <v>6</v>
      </c>
      <c r="D11" s="13">
        <v>0</v>
      </c>
      <c r="E11" s="3">
        <v>0</v>
      </c>
      <c r="F11" s="14">
        <v>0</v>
      </c>
      <c r="G11" s="14">
        <v>0</v>
      </c>
      <c r="H11" s="14">
        <v>0</v>
      </c>
      <c r="I11" s="14">
        <v>0</v>
      </c>
      <c r="J11" s="5">
        <v>0</v>
      </c>
      <c r="K11" s="40">
        <v>0</v>
      </c>
      <c r="L11" s="10">
        <v>1071.577</v>
      </c>
      <c r="M11" s="4">
        <v>975.13506999999959</v>
      </c>
      <c r="N11" s="48">
        <f t="shared" si="0"/>
        <v>96.441930000000411</v>
      </c>
      <c r="O11" s="42">
        <f t="shared" si="1"/>
        <v>90.999999999999957</v>
      </c>
      <c r="P11" s="36">
        <v>3.6</v>
      </c>
    </row>
    <row r="12" spans="3:16" x14ac:dyDescent="0.3">
      <c r="C12" s="11">
        <v>7</v>
      </c>
      <c r="D12" s="13">
        <v>0</v>
      </c>
      <c r="E12" s="3">
        <v>0</v>
      </c>
      <c r="F12" s="14">
        <v>0</v>
      </c>
      <c r="G12" s="14">
        <v>0</v>
      </c>
      <c r="H12" s="14">
        <v>0</v>
      </c>
      <c r="I12" s="14">
        <v>0</v>
      </c>
      <c r="J12" s="5">
        <v>0</v>
      </c>
      <c r="K12" s="40">
        <v>0</v>
      </c>
      <c r="L12" s="10">
        <v>1071.577</v>
      </c>
      <c r="M12" s="4">
        <v>970.13507000000004</v>
      </c>
      <c r="N12" s="48">
        <f t="shared" si="0"/>
        <v>101.44192999999996</v>
      </c>
      <c r="O12" s="42">
        <f t="shared" si="1"/>
        <v>90.533397973267441</v>
      </c>
      <c r="P12" s="25">
        <v>3.6</v>
      </c>
    </row>
    <row r="13" spans="3:16" x14ac:dyDescent="0.3">
      <c r="C13" s="11">
        <v>8</v>
      </c>
      <c r="D13" s="13">
        <v>0</v>
      </c>
      <c r="E13" s="3">
        <v>0</v>
      </c>
      <c r="F13" s="14">
        <v>0</v>
      </c>
      <c r="G13" s="14">
        <v>0</v>
      </c>
      <c r="H13" s="14">
        <v>0</v>
      </c>
      <c r="I13" s="14">
        <v>0</v>
      </c>
      <c r="J13" s="5">
        <v>0</v>
      </c>
      <c r="K13" s="40">
        <v>0</v>
      </c>
      <c r="L13" s="10">
        <v>1071.577</v>
      </c>
      <c r="M13" s="4">
        <v>975.13506999999959</v>
      </c>
      <c r="N13" s="48">
        <f t="shared" si="0"/>
        <v>96.441930000000411</v>
      </c>
      <c r="O13" s="42">
        <f t="shared" si="1"/>
        <v>90.999999999999957</v>
      </c>
      <c r="P13" s="24">
        <v>3.6</v>
      </c>
    </row>
    <row r="14" spans="3:16" x14ac:dyDescent="0.3">
      <c r="C14" s="11">
        <v>9</v>
      </c>
      <c r="D14" s="13">
        <v>0</v>
      </c>
      <c r="E14" s="3">
        <v>0</v>
      </c>
      <c r="F14" s="14">
        <v>0</v>
      </c>
      <c r="G14" s="14">
        <v>0</v>
      </c>
      <c r="H14" s="14">
        <v>0</v>
      </c>
      <c r="I14" s="14">
        <v>0</v>
      </c>
      <c r="J14" s="5">
        <v>0</v>
      </c>
      <c r="K14" s="40">
        <v>0</v>
      </c>
      <c r="L14" s="10">
        <v>1071.577</v>
      </c>
      <c r="M14" s="4">
        <v>973.35069999999996</v>
      </c>
      <c r="N14" s="48">
        <f t="shared" si="0"/>
        <v>98.226300000000037</v>
      </c>
      <c r="O14" s="42">
        <f t="shared" si="1"/>
        <v>90.833481868311836</v>
      </c>
      <c r="P14" s="36">
        <v>3.6</v>
      </c>
    </row>
    <row r="15" spans="3:16" x14ac:dyDescent="0.3">
      <c r="C15" s="11">
        <v>10</v>
      </c>
      <c r="D15" s="13">
        <v>0</v>
      </c>
      <c r="E15" s="3">
        <v>0</v>
      </c>
      <c r="F15" s="14">
        <v>0</v>
      </c>
      <c r="G15" s="14">
        <v>0</v>
      </c>
      <c r="H15" s="14">
        <v>0</v>
      </c>
      <c r="I15" s="14">
        <v>0</v>
      </c>
      <c r="J15" s="5">
        <v>0</v>
      </c>
      <c r="K15" s="40">
        <v>0</v>
      </c>
      <c r="L15" s="10">
        <v>1071.577</v>
      </c>
      <c r="M15" s="4">
        <v>975.13506999999959</v>
      </c>
      <c r="N15" s="48">
        <f t="shared" si="0"/>
        <v>96.441930000000411</v>
      </c>
      <c r="O15" s="42">
        <f t="shared" si="1"/>
        <v>90.999999999999957</v>
      </c>
      <c r="P15" s="24">
        <v>3.6</v>
      </c>
    </row>
    <row r="16" spans="3:16" x14ac:dyDescent="0.3">
      <c r="C16" s="11">
        <v>11</v>
      </c>
      <c r="D16" s="13">
        <v>0</v>
      </c>
      <c r="E16" s="3">
        <v>0</v>
      </c>
      <c r="F16" s="14">
        <v>0</v>
      </c>
      <c r="G16" s="14">
        <v>0</v>
      </c>
      <c r="H16" s="14">
        <v>0</v>
      </c>
      <c r="I16" s="14">
        <v>0</v>
      </c>
      <c r="J16" s="5">
        <v>0</v>
      </c>
      <c r="K16" s="40">
        <v>0</v>
      </c>
      <c r="L16" s="10">
        <v>1071.577</v>
      </c>
      <c r="M16" s="4">
        <v>945.13507000000004</v>
      </c>
      <c r="N16" s="48">
        <f t="shared" si="0"/>
        <v>126.44192999999996</v>
      </c>
      <c r="O16" s="42">
        <f t="shared" si="1"/>
        <v>88.200387839604616</v>
      </c>
      <c r="P16" s="24">
        <v>3.6</v>
      </c>
    </row>
    <row r="17" spans="3:16" ht="15" thickBot="1" x14ac:dyDescent="0.35">
      <c r="C17" s="11">
        <v>12</v>
      </c>
      <c r="D17" s="13">
        <v>0</v>
      </c>
      <c r="E17" s="3">
        <v>0</v>
      </c>
      <c r="F17" s="14">
        <v>0</v>
      </c>
      <c r="G17" s="14">
        <v>0</v>
      </c>
      <c r="H17" s="14">
        <v>0</v>
      </c>
      <c r="I17" s="14">
        <v>0</v>
      </c>
      <c r="J17" s="5">
        <v>0</v>
      </c>
      <c r="K17" s="40">
        <v>0</v>
      </c>
      <c r="L17" s="49">
        <v>1071.577</v>
      </c>
      <c r="M17" s="50">
        <v>995.13507000000004</v>
      </c>
      <c r="N17" s="51">
        <f t="shared" si="0"/>
        <v>76.441929999999957</v>
      </c>
      <c r="O17" s="42">
        <f t="shared" si="1"/>
        <v>92.866408106930251</v>
      </c>
      <c r="P17" s="38">
        <v>3.6</v>
      </c>
    </row>
    <row r="18" spans="3:16" ht="15" thickBot="1" x14ac:dyDescent="0.35">
      <c r="C18" s="27" t="s">
        <v>6</v>
      </c>
      <c r="D18" s="28">
        <f t="shared" ref="D18:N18" si="2">SUM(D6:D17)</f>
        <v>0</v>
      </c>
      <c r="E18" s="29">
        <f t="shared" si="2"/>
        <v>0</v>
      </c>
      <c r="F18" s="29">
        <f t="shared" si="2"/>
        <v>0</v>
      </c>
      <c r="G18" s="29">
        <f t="shared" si="2"/>
        <v>0</v>
      </c>
      <c r="H18" s="29">
        <f t="shared" si="2"/>
        <v>0</v>
      </c>
      <c r="I18" s="29">
        <f t="shared" si="2"/>
        <v>0</v>
      </c>
      <c r="J18" s="30">
        <f t="shared" si="2"/>
        <v>0</v>
      </c>
      <c r="K18" s="31">
        <f t="shared" si="2"/>
        <v>0</v>
      </c>
      <c r="L18" s="33">
        <f t="shared" si="2"/>
        <v>12858.923999999997</v>
      </c>
      <c r="M18" s="34">
        <f t="shared" si="2"/>
        <v>11653.836469999998</v>
      </c>
      <c r="N18" s="46">
        <f t="shared" si="2"/>
        <v>1205.0875300000014</v>
      </c>
      <c r="O18" s="32">
        <f t="shared" si="1"/>
        <v>90.628395268531023</v>
      </c>
      <c r="P18" s="26">
        <f>SUM(P6:P17)</f>
        <v>43.20000000000001</v>
      </c>
    </row>
    <row r="19" spans="3:16" ht="15" thickBot="1" x14ac:dyDescent="0.35">
      <c r="C19" s="22" t="s">
        <v>13</v>
      </c>
      <c r="D19" s="18" t="s">
        <v>10</v>
      </c>
      <c r="E19" s="19" t="s">
        <v>9</v>
      </c>
      <c r="F19" s="19" t="s">
        <v>9</v>
      </c>
      <c r="G19" s="19" t="s">
        <v>9</v>
      </c>
      <c r="H19" s="19" t="s">
        <v>9</v>
      </c>
      <c r="I19" s="19" t="s">
        <v>9</v>
      </c>
      <c r="J19" s="20" t="s">
        <v>9</v>
      </c>
      <c r="K19" s="18" t="s">
        <v>9</v>
      </c>
      <c r="L19" s="33" t="s">
        <v>9</v>
      </c>
      <c r="M19" s="34" t="s">
        <v>9</v>
      </c>
      <c r="N19" s="35" t="s">
        <v>9</v>
      </c>
      <c r="O19" s="22" t="s">
        <v>9</v>
      </c>
      <c r="P19" s="37" t="s">
        <v>10</v>
      </c>
    </row>
  </sheetData>
  <mergeCells count="6">
    <mergeCell ref="P4:P5"/>
    <mergeCell ref="C3:O3"/>
    <mergeCell ref="C4:C5"/>
    <mergeCell ref="D4:J4"/>
    <mergeCell ref="L4:N4"/>
    <mergeCell ref="O4:O5"/>
  </mergeCells>
  <phoneticPr fontId="1" type="noConversion"/>
  <pageMargins left="0.7" right="0.7" top="0.75" bottom="0.75" header="0.3" footer="0.3"/>
  <pageSetup paperSize="9" fitToWidth="0" orientation="landscape" verticalDpi="0" r:id="rId1"/>
  <colBreaks count="1" manualBreakCount="1">
    <brk id="16" min="2" max="35" man="1"/>
  </colBreaks>
  <ignoredErrors>
    <ignoredError sqref="O18" formula="1"/>
    <ignoredError sqref="D18:J18" formulaRange="1"/>
  </ignoredErrors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1</vt:i4>
      </vt:variant>
    </vt:vector>
  </HeadingPairs>
  <TitlesOfParts>
    <vt:vector size="2" baseType="lpstr">
      <vt:lpstr>年報</vt:lpstr>
      <vt:lpstr>年報!Print_Area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星佑_整合EMS處 羅胤恆</dc:creator>
  <cp:lastModifiedBy>星佑_EMS二部 江妤晴</cp:lastModifiedBy>
  <cp:lastPrinted>2023-12-08T08:01:07Z</cp:lastPrinted>
  <dcterms:created xsi:type="dcterms:W3CDTF">2015-06-05T18:19:34Z</dcterms:created>
  <dcterms:modified xsi:type="dcterms:W3CDTF">2024-01-04T02:03:51Z</dcterms:modified>
</cp:coreProperties>
</file>